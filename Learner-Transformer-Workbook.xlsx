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inai\OneDrive\Desktop\PC2_NLP\"/>
    </mc:Choice>
  </mc:AlternateContent>
  <xr:revisionPtr revIDLastSave="0" documentId="13_ncr:1_{A64B658B-6256-4EF0-90A9-35E1BFB778B7}" xr6:coauthVersionLast="47" xr6:coauthVersionMax="47" xr10:uidLastSave="{00000000-0000-0000-0000-000000000000}"/>
  <bookViews>
    <workbookView xWindow="-120" yWindow="-120" windowWidth="29040" windowHeight="15840" activeTab="2" xr2:uid="{01FA6312-44DC-F148-9B6E-D00F78E99429}"/>
  </bookViews>
  <sheets>
    <sheet name="Intro" sheetId="23" r:id="rId1"/>
    <sheet name="Attention_Blank" sheetId="19" r:id="rId2"/>
    <sheet name="Transformer_Blank" sheetId="21" r:id="rId3"/>
  </sheets>
  <definedNames>
    <definedName name="FXY">_xlfn.LAMBDA(_xlpm.f,_xlpm.d, _xlfn.MAKEARRAY(_xlpm.d*2+1,_xlpm.d*2+1,_xlfn.LAMBDA(_xlpm.y,_xlpm.x,_xlpm.f(_xlpm.x-_xlpm.d-1,_xlpm.y-_xlpm.d-1))))</definedName>
    <definedName name="SXY">_xlfn.LAMBDA(_xlpm.a,_xlpm.symbols,_xlpm.d, _xlfn.LET( _xlpm.is, _xlfn.SEQUENCE(COLUMNS(_xlpm.a)), _xlpm.N, 2*_xlpm.d+1, _xlfn.REDUCE("",_xlpm.is, _xlfn.LAMBDA(_xlpm.v,_xlpm.i, _xlfn.LET(_xlpm.xi, INDEX(_xlpm.a,1,_xlpm.i),_xlpm.yi,INDEX(_xlpm.a,2,_xlpm.i),_xlpm.s,INDEX(_xlpm.symbols,1,_xlpm.i), _xlpm.m, _xlfn.MAKEARRAY(_xlpm.N,_xlpm.N,_xlfn.LAMBDA(_xlpm.y,_xlpm.x,IF(AND(_xlpm.xi+1=_xlpm.x-_xlpm.d,_xlpm.yi=(_xlpm.N-_xlpm.y-_xlpm.d)),_xlpm.s,""))), _xlpm.v &amp; _xlpm.m)))))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79" i="21" l="1" a="1"/>
  <c r="Z79" i="21" s="1"/>
  <c r="R387" i="21" a="1"/>
  <c r="R387" i="21" s="1"/>
  <c r="S387" i="21" a="1"/>
  <c r="S387" i="21" s="1"/>
  <c r="T387" i="21" a="1"/>
  <c r="T387" i="21" s="1"/>
  <c r="Q387" i="21" a="1"/>
  <c r="Q387" i="21" s="1"/>
  <c r="Q376" i="21" a="1"/>
  <c r="Q376" i="21" s="1"/>
  <c r="Q367" i="21" a="1"/>
  <c r="Q367" i="21" s="1"/>
  <c r="Q340" i="21" a="1"/>
  <c r="Q340" i="21" s="1"/>
  <c r="Q325" i="21" a="1"/>
  <c r="Q325" i="21" s="1"/>
  <c r="Q314" i="21" a="1"/>
  <c r="Q314" i="21" s="1"/>
  <c r="Q273" i="21" a="1"/>
  <c r="Q273" i="21" s="1"/>
  <c r="P189" i="21" a="1"/>
  <c r="P189" i="21" s="1"/>
  <c r="AE165" i="21" a="1"/>
  <c r="AE165" i="21" s="1"/>
  <c r="AA177" i="21" a="1"/>
  <c r="AA177" i="21" s="1"/>
  <c r="AA169" i="21" a="1"/>
  <c r="AA169" i="21" s="1"/>
  <c r="P165" i="21" a="1"/>
  <c r="P165" i="21" s="1"/>
  <c r="AE143" i="21" a="1"/>
  <c r="AE143" i="21" s="1"/>
  <c r="P147" i="21" a="1"/>
  <c r="P147" i="21" s="1"/>
  <c r="AA153" i="21" a="1"/>
  <c r="AA153" i="21" s="1"/>
  <c r="AA147" i="21" a="1"/>
  <c r="AA147" i="21" s="1"/>
  <c r="Z115" i="21" a="1"/>
  <c r="Z115" i="21" s="1"/>
  <c r="V127" i="21" a="1"/>
  <c r="V127" i="21" s="1"/>
  <c r="V119" i="21" a="1"/>
  <c r="V119" i="21" s="1"/>
  <c r="K131" i="21" a="1"/>
  <c r="K131" i="21" s="1"/>
  <c r="K128" i="21" a="1"/>
  <c r="K128" i="21" s="1"/>
  <c r="K120" i="21" a="1"/>
  <c r="K120" i="21" s="1"/>
  <c r="AC100" i="21" a="1"/>
  <c r="AC100" i="21" s="1"/>
  <c r="AC99" i="21" a="1"/>
  <c r="AC99" i="21" s="1"/>
  <c r="AC98" i="21" a="1"/>
  <c r="AC98" i="21" s="1"/>
  <c r="AC97" i="21" a="1"/>
  <c r="AC97" i="21" s="1"/>
  <c r="AB100" i="21" a="1"/>
  <c r="AB100" i="21" s="1"/>
  <c r="AB99" i="21" a="1"/>
  <c r="AB99" i="21" s="1"/>
  <c r="AB98" i="21" a="1"/>
  <c r="AB98" i="21" s="1"/>
  <c r="AB97" i="21" a="1"/>
  <c r="AB97" i="21" s="1"/>
  <c r="AA100" i="21" a="1"/>
  <c r="AA100" i="21" s="1"/>
  <c r="AA99" i="21" a="1"/>
  <c r="AA99" i="21" s="1"/>
  <c r="AA98" i="21" a="1"/>
  <c r="AA98" i="21" s="1"/>
  <c r="AA97" i="21" a="1"/>
  <c r="AA97" i="21" s="1"/>
  <c r="Z100" i="21" a="1"/>
  <c r="Z100" i="21" s="1"/>
  <c r="Z99" i="21" a="1"/>
  <c r="Z99" i="21" s="1"/>
  <c r="Z98" i="21" a="1"/>
  <c r="Z98" i="21" s="1"/>
  <c r="Z97" i="21" a="1"/>
  <c r="Z97" i="21" s="1"/>
  <c r="R47" i="21" a="1"/>
  <c r="R36" i="21" a="1"/>
  <c r="R36" i="21" s="1"/>
  <c r="R30" i="21" a="1"/>
  <c r="R30" i="21" s="1"/>
  <c r="AI20" i="21" a="1"/>
  <c r="AI20" i="21" s="1"/>
  <c r="AD14" i="21" a="1"/>
  <c r="AD14" i="21" s="1"/>
  <c r="AB82" i="19" a="1"/>
  <c r="AB82" i="19" s="1"/>
  <c r="AK52" i="19" a="1"/>
  <c r="AK52" i="19" s="1"/>
  <c r="AK57" i="19" s="1" a="1"/>
  <c r="AK57" i="19" s="1"/>
  <c r="AK63" i="19" s="1" a="1"/>
  <c r="AK63" i="19" s="1"/>
  <c r="AK66" i="19" s="1" a="1"/>
  <c r="AK66" i="19" s="1"/>
  <c r="X50" i="19" a="1"/>
  <c r="X50" i="19" s="1"/>
  <c r="X55" i="19" s="1" a="1"/>
  <c r="X55" i="19" s="1"/>
  <c r="X61" i="19" s="1" a="1"/>
  <c r="X61" i="19" s="1"/>
  <c r="X64" i="19" s="1" a="1"/>
  <c r="X64" i="19" s="1"/>
  <c r="U50" i="19" a="1"/>
  <c r="U50" i="19" s="1"/>
  <c r="U55" i="19" s="1" a="1"/>
  <c r="U55" i="19" s="1"/>
  <c r="U61" i="19" s="1" a="1"/>
  <c r="U61" i="19" s="1"/>
  <c r="U64" i="19" s="1" a="1"/>
  <c r="U64" i="19" s="1"/>
  <c r="R50" i="19" a="1"/>
  <c r="R50" i="19" s="1"/>
  <c r="R55" i="19" s="1" a="1"/>
  <c r="R55" i="19" s="1"/>
  <c r="R61" i="19" s="1" a="1"/>
  <c r="R61" i="19" s="1"/>
  <c r="R64" i="19" s="1" a="1"/>
  <c r="R64" i="19" s="1"/>
  <c r="O50" i="19" a="1"/>
  <c r="O50" i="19" s="1"/>
  <c r="O55" i="19" s="1" a="1"/>
  <c r="O55" i="19" s="1"/>
  <c r="O61" i="19" s="1" a="1"/>
  <c r="O61" i="19" s="1"/>
  <c r="O64" i="19" s="1" a="1"/>
  <c r="O64" i="19" s="1"/>
  <c r="R20" i="21" a="1"/>
  <c r="R20" i="21" s="1"/>
  <c r="R17" i="21" a="1"/>
  <c r="R17" i="21" s="1"/>
  <c r="R14" i="21" a="1"/>
  <c r="R14" i="21" s="1"/>
  <c r="N183" i="19" a="1"/>
  <c r="N183" i="19" s="1"/>
  <c r="S183" i="19" s="1" a="1"/>
  <c r="S183" i="19" s="1"/>
  <c r="P181" i="21" a="1"/>
  <c r="P181" i="21" s="1"/>
  <c r="P178" i="21" a="1"/>
  <c r="P178" i="21" s="1"/>
  <c r="P153" i="21" a="1"/>
  <c r="P153" i="21" s="1"/>
  <c r="P150" i="21" a="1"/>
  <c r="P150" i="21" s="1"/>
  <c r="K100" i="21" a="1"/>
  <c r="K100" i="21" s="1"/>
  <c r="K103" i="21" a="1"/>
  <c r="K103" i="21" s="1"/>
  <c r="K97" i="21" a="1"/>
  <c r="K97" i="21" s="1"/>
  <c r="Z64" i="21" a="1"/>
  <c r="R47" i="21" l="1"/>
  <c r="R51" i="21" a="1"/>
  <c r="R51" i="21" s="1"/>
  <c r="AN52" i="19" a="1"/>
  <c r="AN52" i="19" s="1"/>
  <c r="AN57" i="19" s="1" a="1"/>
  <c r="AN57" i="19" s="1"/>
  <c r="Q304" i="21" a="1"/>
  <c r="Q304" i="21" s="1"/>
  <c r="AB304" i="21" s="1" a="1"/>
  <c r="AB304" i="21" s="1"/>
  <c r="Q301" i="21" a="1"/>
  <c r="Q301" i="21" s="1"/>
  <c r="AB298" i="21" s="1" a="1"/>
  <c r="AB298" i="21" s="1"/>
  <c r="Q298" i="21" a="1"/>
  <c r="Q298" i="21" s="1"/>
  <c r="AF294" i="21" s="1" a="1"/>
  <c r="AF294" i="21" s="1"/>
  <c r="Q240" i="21" a="1"/>
  <c r="Q240" i="21" s="1"/>
  <c r="AC240" i="21" s="1" a="1"/>
  <c r="AC240" i="21" s="1"/>
  <c r="Q236" i="21" a="1"/>
  <c r="Q236" i="21" s="1"/>
  <c r="AC232" i="21" s="1" a="1"/>
  <c r="AC232" i="21" s="1"/>
  <c r="Q233" i="21" a="1"/>
  <c r="Q233" i="21" s="1"/>
  <c r="AG228" i="21" s="1" a="1"/>
  <c r="AG228" i="21" s="1"/>
  <c r="AE97" i="21" a="1"/>
  <c r="AE97" i="21" s="1"/>
  <c r="AE147" i="21" a="1"/>
  <c r="Z119" i="21" a="1"/>
  <c r="Z64" i="21"/>
  <c r="AN63" i="19" l="1" a="1"/>
  <c r="AN63" i="19" s="1"/>
  <c r="AN66" i="19" s="1" a="1"/>
  <c r="AN66" i="19" s="1"/>
  <c r="AQ46" i="19" a="1"/>
  <c r="AQ46" i="19" s="1"/>
  <c r="AQ52" i="19" s="1" a="1"/>
  <c r="AQ52" i="19" s="1"/>
  <c r="AQ57" i="19" s="1" a="1"/>
  <c r="AQ57" i="19" s="1"/>
  <c r="AJ14" i="21" a="1"/>
  <c r="AJ14" i="21" s="1"/>
  <c r="AI14" i="21" a="1"/>
  <c r="AI14" i="21" s="1"/>
  <c r="AK14" i="21" a="1"/>
  <c r="AK14" i="21" s="1"/>
  <c r="AL14" i="21" a="1"/>
  <c r="AL14" i="21" s="1"/>
  <c r="X203" i="19" a="1"/>
  <c r="X203" i="19" s="1"/>
  <c r="Y203" i="19" a="1"/>
  <c r="Y203" i="19" s="1"/>
  <c r="AA203" i="19" a="1"/>
  <c r="AA203" i="19" s="1"/>
  <c r="Z203" i="19" a="1"/>
  <c r="Z203" i="19" s="1"/>
  <c r="R97" i="19" a="1"/>
  <c r="R97" i="19" s="1"/>
  <c r="R102" i="19" s="1" a="1"/>
  <c r="R102" i="19" s="1"/>
  <c r="R108" i="19" s="1" a="1"/>
  <c r="R108" i="19" s="1"/>
  <c r="R111" i="19" s="1" a="1"/>
  <c r="R111" i="19" s="1"/>
  <c r="O90" i="19" a="1"/>
  <c r="O90" i="19" s="1"/>
  <c r="O97" i="19" s="1" a="1"/>
  <c r="O97" i="19" s="1"/>
  <c r="O102" i="19" s="1" a="1"/>
  <c r="O102" i="19" s="1"/>
  <c r="O108" i="19" s="1" a="1"/>
  <c r="O108" i="19" s="1"/>
  <c r="O111" i="19" s="1" a="1"/>
  <c r="O111" i="19" s="1"/>
  <c r="U97" i="19" a="1"/>
  <c r="U97" i="19" s="1"/>
  <c r="U102" i="19" s="1" a="1"/>
  <c r="U102" i="19" s="1"/>
  <c r="U108" i="19" s="1" a="1"/>
  <c r="U108" i="19" s="1"/>
  <c r="U111" i="19" s="1" a="1"/>
  <c r="U111" i="19" s="1"/>
  <c r="AF298" i="21" a="1"/>
  <c r="AL298" i="21" s="1" a="1"/>
  <c r="AL298" i="21" s="1"/>
  <c r="AH97" i="21" a="1"/>
  <c r="AH97" i="21" s="1"/>
  <c r="AG97" i="21" a="1"/>
  <c r="AG97" i="21" s="1"/>
  <c r="AF97" i="21" a="1"/>
  <c r="AF97" i="21" s="1"/>
  <c r="AG232" i="21" a="1"/>
  <c r="AG232" i="21" s="1"/>
  <c r="AN232" i="21" s="1" a="1"/>
  <c r="AN232" i="21" s="1"/>
  <c r="AK147" i="21" a="1"/>
  <c r="AK147" i="21" s="1"/>
  <c r="AE147" i="21"/>
  <c r="AJ147" i="21" s="1" a="1"/>
  <c r="AJ147" i="21" s="1"/>
  <c r="AM147" i="21" a="1"/>
  <c r="AM147" i="21" s="1"/>
  <c r="AL147" i="21" a="1"/>
  <c r="AL147" i="21" s="1"/>
  <c r="AH119" i="21" a="1"/>
  <c r="AH119" i="21" s="1"/>
  <c r="AG119" i="21" a="1"/>
  <c r="AG119" i="21" s="1"/>
  <c r="AF119" i="21" a="1"/>
  <c r="AF119" i="21" s="1"/>
  <c r="Z119" i="21"/>
  <c r="AE119" i="21" s="1" a="1"/>
  <c r="AE119" i="21" s="1"/>
  <c r="X97" i="19" a="1"/>
  <c r="X97" i="19" s="1"/>
  <c r="X102" i="19" s="1" a="1"/>
  <c r="X102" i="19" s="1"/>
  <c r="X108" i="19" s="1" a="1"/>
  <c r="X108" i="19" s="1"/>
  <c r="X111" i="19" s="1" a="1"/>
  <c r="X111" i="19" s="1"/>
  <c r="AQ63" i="19" l="1" a="1"/>
  <c r="AQ63" i="19" s="1"/>
  <c r="AQ66" i="19" s="1" a="1"/>
  <c r="AQ66" i="19" s="1"/>
  <c r="AT46" i="19" a="1"/>
  <c r="AT46" i="19" s="1"/>
  <c r="AT52" i="19" s="1" a="1"/>
  <c r="AT52" i="19" s="1"/>
  <c r="AT57" i="19" s="1" a="1"/>
  <c r="AT57" i="19" s="1"/>
  <c r="AT63" i="19" s="1" a="1"/>
  <c r="AT63" i="19" s="1"/>
  <c r="AT66" i="19" s="1" a="1"/>
  <c r="AT66" i="19" s="1"/>
  <c r="AE103" i="21" a="1"/>
  <c r="AE103" i="21" s="1"/>
  <c r="AF298" i="21"/>
  <c r="AK298" i="21" s="1" a="1"/>
  <c r="AK298" i="21" s="1"/>
  <c r="AM298" i="21" a="1"/>
  <c r="AM298" i="21" s="1"/>
  <c r="X209" i="19" a="1"/>
  <c r="X209" i="19" s="1"/>
  <c r="AN298" i="21" a="1"/>
  <c r="AN298" i="21" s="1"/>
  <c r="AK304" i="21" s="1" a="1"/>
  <c r="AK304" i="21" s="1"/>
  <c r="Q319" i="21" s="1" a="1"/>
  <c r="Q319" i="21" s="1"/>
  <c r="AF314" i="21" s="1" a="1"/>
  <c r="AF314" i="21" s="1"/>
  <c r="AE127" i="21" a="1"/>
  <c r="AE127" i="21" s="1"/>
  <c r="AR232" i="21" a="1"/>
  <c r="AR232" i="21" s="1"/>
  <c r="AS232" i="21" a="1"/>
  <c r="AS232" i="21" s="1"/>
  <c r="AO232" i="21" a="1"/>
  <c r="AO232" i="21" s="1"/>
  <c r="AP232" i="21" a="1"/>
  <c r="AP232" i="21" s="1"/>
  <c r="AQ232" i="21" a="1"/>
  <c r="AQ232" i="21" s="1"/>
  <c r="AJ153" i="21" a="1"/>
  <c r="AJ153" i="21" s="1"/>
  <c r="P170" i="21" s="1" a="1"/>
  <c r="P170" i="21" s="1"/>
  <c r="J138" i="19" a="1"/>
  <c r="J138" i="19" s="1"/>
  <c r="J143" i="19" s="1" a="1"/>
  <c r="J143" i="19" s="1"/>
  <c r="AN240" i="21" l="1" a="1"/>
  <c r="AN240" i="21" s="1"/>
  <c r="Q248" i="21" s="1" a="1"/>
  <c r="Q248" i="21" s="1"/>
  <c r="Q253" i="21" s="1" a="1"/>
  <c r="Q253" i="21" s="1"/>
  <c r="Q258" i="21" s="1" a="1"/>
  <c r="Q258" i="21" s="1"/>
  <c r="Q264" i="21" s="1" a="1"/>
  <c r="Q264" i="21" s="1"/>
  <c r="Q268" i="21" s="1" a="1"/>
  <c r="Q268" i="21" s="1"/>
  <c r="AE169" i="21" a="1"/>
  <c r="J149" i="19" a="1"/>
  <c r="J149" i="19" s="1"/>
  <c r="J152" i="19" s="1" a="1"/>
  <c r="J152" i="19" s="1"/>
  <c r="AE169" i="21" l="1"/>
  <c r="AJ169" i="21" s="1" a="1"/>
  <c r="AJ169" i="21" s="1"/>
  <c r="AK169" i="21" a="1"/>
  <c r="AK169" i="21" s="1"/>
  <c r="AM169" i="21" a="1"/>
  <c r="AM169" i="21" s="1"/>
  <c r="AL169" i="21" a="1"/>
  <c r="AL169" i="21" s="1"/>
  <c r="Q329" i="21" l="1" a="1"/>
  <c r="Q329" i="21" s="1"/>
  <c r="AB318" i="21" s="1" a="1"/>
  <c r="AB318" i="21" s="1"/>
  <c r="AF318" i="21" s="1" a="1"/>
  <c r="Q332" i="21" a="1"/>
  <c r="Q332" i="21" s="1"/>
  <c r="AB326" i="21" s="1" a="1"/>
  <c r="AB326" i="21" s="1"/>
  <c r="AJ177" i="21" a="1"/>
  <c r="AJ177" i="21" s="1"/>
  <c r="P195" i="21" s="1" a="1"/>
  <c r="P195" i="21" s="1"/>
  <c r="P200" i="21" s="1" a="1"/>
  <c r="P200" i="21" s="1"/>
  <c r="P206" i="21" s="1" a="1"/>
  <c r="P206" i="21" s="1"/>
  <c r="P210" i="21" s="1" a="1"/>
  <c r="P210" i="21" s="1"/>
  <c r="AM318" i="21" l="1" a="1"/>
  <c r="AM318" i="21" s="1"/>
  <c r="AF318" i="21"/>
  <c r="AK318" i="21" s="1" a="1"/>
  <c r="AK318" i="21" s="1"/>
  <c r="AL318" i="21" a="1"/>
  <c r="AL318" i="21" s="1"/>
  <c r="AN318" i="21" a="1"/>
  <c r="AN318" i="21" s="1"/>
  <c r="AK326" i="21" l="1" a="1"/>
  <c r="AK326" i="21" s="1"/>
  <c r="Q346" i="21" s="1" a="1"/>
  <c r="Q346" i="21" s="1"/>
  <c r="Q351" i="21" s="1" a="1"/>
  <c r="Q351" i="21" s="1"/>
  <c r="Q357" i="21" s="1" a="1"/>
  <c r="Q357" i="21" s="1"/>
  <c r="Q361" i="21" s="1" a="1"/>
  <c r="Q361" i="21" s="1"/>
  <c r="R41" i="21" a="1"/>
  <c r="R41" i="2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<sst xmlns="http://schemas.openxmlformats.org/spreadsheetml/2006/main" count="722" uniqueCount="113">
  <si>
    <t>Batch vs Recurrent vs Attention</t>
  </si>
  <si>
    <t>Batch</t>
  </si>
  <si>
    <t>X1</t>
  </si>
  <si>
    <t>X2</t>
  </si>
  <si>
    <t>X3</t>
  </si>
  <si>
    <t>X4</t>
  </si>
  <si>
    <t>H1</t>
  </si>
  <si>
    <t>H2</t>
  </si>
  <si>
    <t>H3</t>
  </si>
  <si>
    <t>H4</t>
  </si>
  <si>
    <t>Y1</t>
  </si>
  <si>
    <t>Y2</t>
  </si>
  <si>
    <t>Y3</t>
  </si>
  <si>
    <t>Y4</t>
  </si>
  <si>
    <t>Recurrent</t>
  </si>
  <si>
    <t>H0</t>
  </si>
  <si>
    <t>Attention</t>
  </si>
  <si>
    <t>X1'</t>
  </si>
  <si>
    <t>X2'</t>
  </si>
  <si>
    <t>X3'</t>
  </si>
  <si>
    <t>X4'</t>
  </si>
  <si>
    <t>MLP vs RNN</t>
  </si>
  <si>
    <t>Xt'</t>
  </si>
  <si>
    <t>Linear</t>
  </si>
  <si>
    <t>W</t>
  </si>
  <si>
    <t>b</t>
  </si>
  <si>
    <t>Ht'</t>
  </si>
  <si>
    <t>ReLU</t>
  </si>
  <si>
    <t>Yt'</t>
  </si>
  <si>
    <t xml:space="preserve"> Attention + MLP</t>
  </si>
  <si>
    <t>A</t>
  </si>
  <si>
    <t>X' = X • A</t>
  </si>
  <si>
    <t>Xt</t>
  </si>
  <si>
    <t>Attention + MLP (Compact)</t>
  </si>
  <si>
    <t>WX'+b</t>
  </si>
  <si>
    <t>Dot-Product Self-Attention</t>
  </si>
  <si>
    <t>X</t>
  </si>
  <si>
    <t>x1</t>
  </si>
  <si>
    <t>x2</t>
  </si>
  <si>
    <t>x3</t>
  </si>
  <si>
    <t>x4</t>
  </si>
  <si>
    <t>X^T</t>
  </si>
  <si>
    <t>A = X^T • X</t>
  </si>
  <si>
    <t>Scaled Dot-Product Self-Attention</t>
  </si>
  <si>
    <t>P = X^T • X</t>
  </si>
  <si>
    <t>S' = P ./ sqrt(dK)</t>
  </si>
  <si>
    <t>A = Softmax(S)</t>
  </si>
  <si>
    <t>QKV Self-Attention</t>
  </si>
  <si>
    <t>Input</t>
  </si>
  <si>
    <t>Q</t>
  </si>
  <si>
    <t>q1</t>
  </si>
  <si>
    <t>q2</t>
  </si>
  <si>
    <t>q3</t>
  </si>
  <si>
    <t>q4</t>
  </si>
  <si>
    <t>Wq</t>
  </si>
  <si>
    <t>K^T</t>
  </si>
  <si>
    <t>S = K^T • Q/sqrt(dk)</t>
  </si>
  <si>
    <t>k1</t>
  </si>
  <si>
    <t>k2</t>
  </si>
  <si>
    <t>Wk</t>
  </si>
  <si>
    <t>K</t>
  </si>
  <si>
    <t>k3</t>
  </si>
  <si>
    <t>k4</t>
  </si>
  <si>
    <t>Wv</t>
  </si>
  <si>
    <t>V</t>
  </si>
  <si>
    <t>v1</t>
  </si>
  <si>
    <t>v2</t>
  </si>
  <si>
    <t>v3</t>
  </si>
  <si>
    <t>v4</t>
  </si>
  <si>
    <t>X' = V • A</t>
  </si>
  <si>
    <t>x1'</t>
  </si>
  <si>
    <t>x2'</t>
  </si>
  <si>
    <t>x3'</t>
  </si>
  <si>
    <t>x4'</t>
  </si>
  <si>
    <t>Encoder</t>
  </si>
  <si>
    <t>Self Attention</t>
  </si>
  <si>
    <t>Position-wise Feed Forward Network</t>
  </si>
  <si>
    <t>Self vs Cross Attention</t>
  </si>
  <si>
    <t>Self</t>
  </si>
  <si>
    <t>V = X</t>
  </si>
  <si>
    <t>Cross Attention</t>
  </si>
  <si>
    <t>Other</t>
  </si>
  <si>
    <t>V = C</t>
  </si>
  <si>
    <t>C</t>
  </si>
  <si>
    <t>C1</t>
  </si>
  <si>
    <t>C2</t>
  </si>
  <si>
    <t>C3</t>
  </si>
  <si>
    <t>C4</t>
  </si>
  <si>
    <t>C5</t>
  </si>
  <si>
    <t>C6</t>
  </si>
  <si>
    <t>QKV Self vs Cross Attention</t>
  </si>
  <si>
    <t>c1</t>
  </si>
  <si>
    <t>c2</t>
  </si>
  <si>
    <t>c3</t>
  </si>
  <si>
    <t>c4</t>
  </si>
  <si>
    <t>c5</t>
  </si>
  <si>
    <t>c6</t>
  </si>
  <si>
    <t>k5</t>
  </si>
  <si>
    <t>k6</t>
  </si>
  <si>
    <t>v5</t>
  </si>
  <si>
    <t>v6</t>
  </si>
  <si>
    <t>Decoder</t>
  </si>
  <si>
    <t>Encoder-Decoder</t>
  </si>
  <si>
    <t>Input Sentence</t>
  </si>
  <si>
    <t>q5</t>
  </si>
  <si>
    <t>q6</t>
  </si>
  <si>
    <t>Encoder Output</t>
  </si>
  <si>
    <t>Output Sequence</t>
  </si>
  <si>
    <t>(Shifted Right)</t>
  </si>
  <si>
    <t>From Encoder</t>
  </si>
  <si>
    <t>Decoder Output</t>
  </si>
  <si>
    <t>Decoder Output Layer</t>
  </si>
  <si>
    <t>Softmax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</si>
</sst>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40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1"/>
    <xf numFmtId="0" fontId="1" fillId="8" borderId="2">
      <alignment horizontal="center"/>
    </xf>
  </cellStyleXfs>
  <cellXfs count="70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/>
    </xf>
    <xf numFmtId="0" fontId="3" fillId="5" borderId="0" xfId="0" applyFont="1" applyFill="1"/>
    <xf numFmtId="0" fontId="2" fillId="5" borderId="0" xfId="0" applyFont="1" applyFill="1"/>
    <xf numFmtId="0" fontId="0" fillId="6" borderId="0" xfId="0" applyFill="1"/>
    <xf numFmtId="0" fontId="1" fillId="0" borderId="0" xfId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9" borderId="0" xfId="0" applyFill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6" fontId="0" fillId="0" borderId="0" xfId="0" applyNumberFormat="1" applyAlignment="1">
      <alignment horizontal="center"/>
    </xf>
    <xf numFmtId="6" fontId="4" fillId="0" borderId="0" xfId="0" applyNumberFormat="1" applyFont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0" fillId="10" borderId="3" xfId="0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0" borderId="5" xfId="0" applyFill="1" applyBorder="1" applyAlignment="1">
      <alignment horizontal="center"/>
    </xf>
    <xf numFmtId="0" fontId="6" fillId="0" borderId="0" xfId="0" applyFont="1"/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9" borderId="0" xfId="0" applyFill="1"/>
    <xf numFmtId="0" fontId="0" fillId="2" borderId="0" xfId="0" applyFill="1"/>
    <xf numFmtId="0" fontId="0" fillId="0" borderId="14" xfId="0" applyBorder="1"/>
    <xf numFmtId="0" fontId="0" fillId="0" borderId="16" xfId="0" applyBorder="1"/>
    <xf numFmtId="0" fontId="0" fillId="0" borderId="3" xfId="0" applyBorder="1"/>
    <xf numFmtId="0" fontId="0" fillId="0" borderId="5" xfId="0" applyBorder="1"/>
    <xf numFmtId="0" fontId="4" fillId="0" borderId="0" xfId="0" applyFont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0" fontId="1" fillId="3" borderId="14" xfId="1" applyFill="1" applyBorder="1" applyAlignment="1">
      <alignment horizontal="center" vertical="center"/>
    </xf>
    <xf numFmtId="0" fontId="1" fillId="3" borderId="15" xfId="1" applyFill="1" applyBorder="1" applyAlignment="1">
      <alignment horizontal="center" vertical="center"/>
    </xf>
    <xf numFmtId="0" fontId="1" fillId="3" borderId="16" xfId="1" applyFill="1" applyBorder="1" applyAlignment="1">
      <alignment horizontal="center" vertical="center"/>
    </xf>
    <xf numFmtId="0" fontId="1" fillId="7" borderId="14" xfId="1" applyFill="1" applyBorder="1" applyAlignment="1">
      <alignment horizontal="center" vertical="center"/>
    </xf>
    <xf numFmtId="0" fontId="1" fillId="7" borderId="15" xfId="1" applyFill="1" applyBorder="1" applyAlignment="1">
      <alignment horizontal="center" vertical="center"/>
    </xf>
    <xf numFmtId="0" fontId="1" fillId="7" borderId="16" xfId="1" applyFill="1" applyBorder="1" applyAlignment="1">
      <alignment horizontal="center" vertical="center"/>
    </xf>
    <xf numFmtId="0" fontId="1" fillId="4" borderId="14" xfId="1" applyFill="1" applyBorder="1" applyAlignment="1">
      <alignment horizontal="center" vertical="center"/>
    </xf>
    <xf numFmtId="0" fontId="1" fillId="4" borderId="16" xfId="1" applyFill="1" applyBorder="1" applyAlignment="1">
      <alignment horizontal="center" vertical="center"/>
    </xf>
    <xf numFmtId="0" fontId="1" fillId="10" borderId="14" xfId="1" applyFill="1" applyBorder="1" applyAlignment="1">
      <alignment horizontal="center" vertical="center"/>
    </xf>
    <xf numFmtId="0" fontId="1" fillId="10" borderId="15" xfId="1" applyFill="1" applyBorder="1" applyAlignment="1">
      <alignment horizontal="center" vertical="center"/>
    </xf>
    <xf numFmtId="0" fontId="1" fillId="10" borderId="16" xfId="1" applyFill="1" applyBorder="1" applyAlignment="1">
      <alignment horizontal="center" vertical="center"/>
    </xf>
    <xf numFmtId="0" fontId="4" fillId="0" borderId="0" xfId="0" applyFont="1"/>
    <xf numFmtId="0" fontId="0" fillId="11" borderId="3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1" borderId="5" xfId="0" applyFill="1" applyBorder="1" applyAlignment="1">
      <alignment horizontal="center"/>
    </xf>
    <xf numFmtId="0" fontId="0" fillId="7" borderId="4" xfId="0" applyFill="1" applyBorder="1"/>
    <xf numFmtId="0" fontId="0" fillId="7" borderId="5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</cellXfs>
  <cellStyles count="3">
    <cellStyle name="Hyper" xfId="2" xr:uid="{C83B9446-5EAC-6047-AEC1-B94AC8DCE5B5}"/>
    <cellStyle name="Node" xfId="1" xr:uid="{3AC8DD0F-7DBA-AE46-941B-508B5BB24C8F}"/>
    <cellStyle name="Normal" xfId="0" builtinId="0"/>
  </cellStyles>
  <dxfs count="0"/>
  <tableStyles count="0" defaultTableStyle="TableStyleMedium2" defaultPivotStyle="PivotStyleLight16"/>
  <colors>
    <mruColors>
      <color rgb="FFFF4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2" Type="http://schemas.openxmlformats.org/officeDocument/2006/relationships/image" Target="../media/image4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190500</xdr:colOff>
      <xdr:row>1</xdr:row>
      <xdr:rowOff>101600</xdr:rowOff>
    </xdr:from>
    <xdr:to>
      <xdr:col>14</xdr:col>
      <xdr:colOff>228600</xdr:colOff>
      <xdr:row>22</xdr:row>
      <xdr:rowOff>254000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3A528636-289F-2D80-9705-23BE017487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36900" y="406400"/>
          <a:ext cx="2247900" cy="65532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2</xdr:row>
      <xdr:rowOff>25400</xdr:rowOff>
    </xdr:from>
    <xdr:to>
      <xdr:col>7</xdr:col>
      <xdr:colOff>50800</xdr:colOff>
      <xdr:row>16</xdr:row>
      <xdr:rowOff>50800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CCCFF55F-0432-1F8C-3898-36C27E908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8800" y="635000"/>
          <a:ext cx="2070100" cy="4292600"/>
        </a:xfrm>
        <a:prstGeom prst="rect">
          <a:avLst/>
        </a:prstGeom>
      </xdr:spPr>
    </xdr:pic>
    <xdr:clientData/>
  </xdr:twoCellAnchor>
  <xdr:twoCellAnchor editAs="oneCell">
    <xdr:from>
      <xdr:col>17</xdr:col>
      <xdr:colOff>88900</xdr:colOff>
      <xdr:row>0</xdr:row>
      <xdr:rowOff>228600</xdr:rowOff>
    </xdr:from>
    <xdr:to>
      <xdr:col>30</xdr:col>
      <xdr:colOff>168275</xdr:colOff>
      <xdr:row>23</xdr:row>
      <xdr:rowOff>76200</xdr:rowOff>
    </xdr:to>
    <xdr:pic>
      <xdr:nvPicPr>
        <xdr:cNvPr id="50" name="Picture 49" descr="The Transformer Model - MachineLearningMastery.com">
          <a:extLst>
            <a:ext uri="{FF2B5EF4-FFF2-40B4-BE49-F238E27FC236}">
              <a16:creationId xmlns:a16="http://schemas.microsoft.com/office/drawing/2014/main" id="{42442BEC-07F1-B391-B66A-42500D633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000" y="228600"/>
          <a:ext cx="4867275" cy="685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63062</xdr:colOff>
      <xdr:row>89</xdr:row>
      <xdr:rowOff>19772</xdr:rowOff>
    </xdr:from>
    <xdr:to>
      <xdr:col>2</xdr:col>
      <xdr:colOff>304795</xdr:colOff>
      <xdr:row>89</xdr:row>
      <xdr:rowOff>291591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9E63B4D1-0064-E248-8C82-6DCC939CA0FA}"/>
            </a:ext>
          </a:extLst>
        </xdr:cNvPr>
        <xdr:cNvSpPr/>
      </xdr:nvSpPr>
      <xdr:spPr>
        <a:xfrm>
          <a:off x="810121" y="18248007"/>
          <a:ext cx="241733" cy="271819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63062</xdr:colOff>
      <xdr:row>89</xdr:row>
      <xdr:rowOff>19772</xdr:rowOff>
    </xdr:from>
    <xdr:to>
      <xdr:col>3</xdr:col>
      <xdr:colOff>304795</xdr:colOff>
      <xdr:row>89</xdr:row>
      <xdr:rowOff>291591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4870C2C2-E6D4-BD4D-9924-8A8C3D28C5C1}"/>
            </a:ext>
          </a:extLst>
        </xdr:cNvPr>
        <xdr:cNvSpPr/>
      </xdr:nvSpPr>
      <xdr:spPr>
        <a:xfrm>
          <a:off x="1183650" y="18248007"/>
          <a:ext cx="241733" cy="271819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63062</xdr:colOff>
      <xdr:row>89</xdr:row>
      <xdr:rowOff>19772</xdr:rowOff>
    </xdr:from>
    <xdr:to>
      <xdr:col>4</xdr:col>
      <xdr:colOff>304795</xdr:colOff>
      <xdr:row>89</xdr:row>
      <xdr:rowOff>291591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BA6C18D6-96EC-7F46-929F-9A81C684B3E0}"/>
            </a:ext>
          </a:extLst>
        </xdr:cNvPr>
        <xdr:cNvSpPr/>
      </xdr:nvSpPr>
      <xdr:spPr>
        <a:xfrm>
          <a:off x="1557180" y="18248007"/>
          <a:ext cx="241733" cy="271819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78004</xdr:colOff>
      <xdr:row>101</xdr:row>
      <xdr:rowOff>19317</xdr:rowOff>
    </xdr:from>
    <xdr:to>
      <xdr:col>2</xdr:col>
      <xdr:colOff>319737</xdr:colOff>
      <xdr:row>101</xdr:row>
      <xdr:rowOff>291136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8225F379-EDE2-154F-891D-40C8B28EBADF}"/>
            </a:ext>
          </a:extLst>
        </xdr:cNvPr>
        <xdr:cNvSpPr/>
      </xdr:nvSpPr>
      <xdr:spPr>
        <a:xfrm>
          <a:off x="814604" y="18307317"/>
          <a:ext cx="241733" cy="271819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78004</xdr:colOff>
      <xdr:row>101</xdr:row>
      <xdr:rowOff>19317</xdr:rowOff>
    </xdr:from>
    <xdr:to>
      <xdr:col>3</xdr:col>
      <xdr:colOff>319737</xdr:colOff>
      <xdr:row>101</xdr:row>
      <xdr:rowOff>291136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CCDF0DB-82C6-9E43-958F-9BC4452B294B}"/>
            </a:ext>
          </a:extLst>
        </xdr:cNvPr>
        <xdr:cNvSpPr/>
      </xdr:nvSpPr>
      <xdr:spPr>
        <a:xfrm>
          <a:off x="1182904" y="18307317"/>
          <a:ext cx="241733" cy="271819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78004</xdr:colOff>
      <xdr:row>101</xdr:row>
      <xdr:rowOff>19317</xdr:rowOff>
    </xdr:from>
    <xdr:to>
      <xdr:col>4</xdr:col>
      <xdr:colOff>319737</xdr:colOff>
      <xdr:row>101</xdr:row>
      <xdr:rowOff>291136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AF932C8B-E2BD-CB4A-BF12-04D5F6B550EB}"/>
            </a:ext>
          </a:extLst>
        </xdr:cNvPr>
        <xdr:cNvSpPr/>
      </xdr:nvSpPr>
      <xdr:spPr>
        <a:xfrm>
          <a:off x="1551204" y="18307317"/>
          <a:ext cx="241733" cy="271819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78004</xdr:colOff>
      <xdr:row>101</xdr:row>
      <xdr:rowOff>19317</xdr:rowOff>
    </xdr:from>
    <xdr:to>
      <xdr:col>5</xdr:col>
      <xdr:colOff>319737</xdr:colOff>
      <xdr:row>101</xdr:row>
      <xdr:rowOff>291136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1C174DA1-CF29-244F-8830-08DC633BFDF9}"/>
            </a:ext>
          </a:extLst>
        </xdr:cNvPr>
        <xdr:cNvSpPr/>
      </xdr:nvSpPr>
      <xdr:spPr>
        <a:xfrm>
          <a:off x="1919504" y="18307317"/>
          <a:ext cx="241733" cy="271819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183929</xdr:colOff>
      <xdr:row>89</xdr:row>
      <xdr:rowOff>291591</xdr:rowOff>
    </xdr:from>
    <xdr:to>
      <xdr:col>2</xdr:col>
      <xdr:colOff>198871</xdr:colOff>
      <xdr:row>101</xdr:row>
      <xdr:rowOff>19317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53800943-C650-E247-A529-7401C10C5D11}"/>
            </a:ext>
          </a:extLst>
        </xdr:cNvPr>
        <xdr:cNvCxnSpPr>
          <a:stCxn id="2" idx="4"/>
          <a:endCxn id="5" idx="0"/>
        </xdr:cNvCxnSpPr>
      </xdr:nvCxnSpPr>
      <xdr:spPr>
        <a:xfrm>
          <a:off x="930988" y="18519826"/>
          <a:ext cx="14942" cy="3313609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183929</xdr:colOff>
      <xdr:row>89</xdr:row>
      <xdr:rowOff>291591</xdr:rowOff>
    </xdr:from>
    <xdr:to>
      <xdr:col>3</xdr:col>
      <xdr:colOff>198871</xdr:colOff>
      <xdr:row>101</xdr:row>
      <xdr:rowOff>19317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7D1C2B8B-06BC-AA45-AD03-76C45D9AF678}"/>
            </a:ext>
          </a:extLst>
        </xdr:cNvPr>
        <xdr:cNvCxnSpPr>
          <a:stCxn id="3" idx="4"/>
          <a:endCxn id="6" idx="0"/>
        </xdr:cNvCxnSpPr>
      </xdr:nvCxnSpPr>
      <xdr:spPr>
        <a:xfrm>
          <a:off x="1304517" y="18519826"/>
          <a:ext cx="14942" cy="3313609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183928</xdr:colOff>
      <xdr:row>89</xdr:row>
      <xdr:rowOff>291591</xdr:rowOff>
    </xdr:from>
    <xdr:to>
      <xdr:col>4</xdr:col>
      <xdr:colOff>183929</xdr:colOff>
      <xdr:row>98</xdr:row>
      <xdr:rowOff>34259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CC8A2E36-F9ED-0840-8555-5B4994603BF8}"/>
            </a:ext>
          </a:extLst>
        </xdr:cNvPr>
        <xdr:cNvCxnSpPr>
          <a:stCxn id="4" idx="4"/>
        </xdr:cNvCxnSpPr>
      </xdr:nvCxnSpPr>
      <xdr:spPr>
        <a:xfrm flipH="1">
          <a:off x="1678046" y="18519826"/>
          <a:ext cx="1" cy="243208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183929</xdr:colOff>
      <xdr:row>89</xdr:row>
      <xdr:rowOff>291591</xdr:rowOff>
    </xdr:from>
    <xdr:to>
      <xdr:col>5</xdr:col>
      <xdr:colOff>198871</xdr:colOff>
      <xdr:row>101</xdr:row>
      <xdr:rowOff>19317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EBE1007F-27AD-434A-9635-EFD8FFF73CCD}"/>
            </a:ext>
          </a:extLst>
        </xdr:cNvPr>
        <xdr:cNvCxnSpPr>
          <a:stCxn id="4" idx="4"/>
          <a:endCxn id="8" idx="0"/>
        </xdr:cNvCxnSpPr>
      </xdr:nvCxnSpPr>
      <xdr:spPr>
        <a:xfrm>
          <a:off x="1678047" y="18519826"/>
          <a:ext cx="388471" cy="3313609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198871</xdr:colOff>
      <xdr:row>89</xdr:row>
      <xdr:rowOff>291591</xdr:rowOff>
    </xdr:from>
    <xdr:to>
      <xdr:col>4</xdr:col>
      <xdr:colOff>183929</xdr:colOff>
      <xdr:row>101</xdr:row>
      <xdr:rowOff>19317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1AC2D6BE-C649-894A-8E0C-4F49674825EE}"/>
            </a:ext>
          </a:extLst>
        </xdr:cNvPr>
        <xdr:cNvCxnSpPr>
          <a:stCxn id="4" idx="4"/>
          <a:endCxn id="6" idx="0"/>
        </xdr:cNvCxnSpPr>
      </xdr:nvCxnSpPr>
      <xdr:spPr>
        <a:xfrm flipH="1">
          <a:off x="1319459" y="18519826"/>
          <a:ext cx="358588" cy="3313609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183928</xdr:colOff>
      <xdr:row>89</xdr:row>
      <xdr:rowOff>291591</xdr:rowOff>
    </xdr:from>
    <xdr:to>
      <xdr:col>4</xdr:col>
      <xdr:colOff>183929</xdr:colOff>
      <xdr:row>98</xdr:row>
      <xdr:rowOff>34259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62D793FD-6534-FA45-8641-3C31A02908DB}"/>
            </a:ext>
          </a:extLst>
        </xdr:cNvPr>
        <xdr:cNvCxnSpPr>
          <a:stCxn id="4" idx="4"/>
        </xdr:cNvCxnSpPr>
      </xdr:nvCxnSpPr>
      <xdr:spPr>
        <a:xfrm flipH="1">
          <a:off x="930987" y="18519826"/>
          <a:ext cx="747060" cy="243208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198871</xdr:colOff>
      <xdr:row>89</xdr:row>
      <xdr:rowOff>291591</xdr:rowOff>
    </xdr:from>
    <xdr:to>
      <xdr:col>3</xdr:col>
      <xdr:colOff>183929</xdr:colOff>
      <xdr:row>101</xdr:row>
      <xdr:rowOff>19317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E98D4B00-2B18-C748-94B1-5607CB9B4CC2}"/>
            </a:ext>
          </a:extLst>
        </xdr:cNvPr>
        <xdr:cNvCxnSpPr>
          <a:stCxn id="3" idx="4"/>
          <a:endCxn id="5" idx="0"/>
        </xdr:cNvCxnSpPr>
      </xdr:nvCxnSpPr>
      <xdr:spPr>
        <a:xfrm flipH="1">
          <a:off x="945930" y="18519826"/>
          <a:ext cx="358587" cy="3313609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183929</xdr:colOff>
      <xdr:row>89</xdr:row>
      <xdr:rowOff>291591</xdr:rowOff>
    </xdr:from>
    <xdr:to>
      <xdr:col>3</xdr:col>
      <xdr:colOff>198871</xdr:colOff>
      <xdr:row>101</xdr:row>
      <xdr:rowOff>19317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C681E1B8-FF84-1148-9E50-4D0E2E3068B8}"/>
            </a:ext>
          </a:extLst>
        </xdr:cNvPr>
        <xdr:cNvCxnSpPr>
          <a:stCxn id="2" idx="4"/>
          <a:endCxn id="6" idx="0"/>
        </xdr:cNvCxnSpPr>
      </xdr:nvCxnSpPr>
      <xdr:spPr>
        <a:xfrm>
          <a:off x="930988" y="18519826"/>
          <a:ext cx="388471" cy="3313609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183929</xdr:colOff>
      <xdr:row>89</xdr:row>
      <xdr:rowOff>291591</xdr:rowOff>
    </xdr:from>
    <xdr:to>
      <xdr:col>4</xdr:col>
      <xdr:colOff>198871</xdr:colOff>
      <xdr:row>101</xdr:row>
      <xdr:rowOff>19317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1C4F4751-82E6-9840-837A-F0D9C3BBE81C}"/>
            </a:ext>
          </a:extLst>
        </xdr:cNvPr>
        <xdr:cNvCxnSpPr>
          <a:stCxn id="2" idx="4"/>
          <a:endCxn id="7" idx="0"/>
        </xdr:cNvCxnSpPr>
      </xdr:nvCxnSpPr>
      <xdr:spPr>
        <a:xfrm>
          <a:off x="930988" y="18519826"/>
          <a:ext cx="762001" cy="3313609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183929</xdr:colOff>
      <xdr:row>89</xdr:row>
      <xdr:rowOff>291591</xdr:rowOff>
    </xdr:from>
    <xdr:to>
      <xdr:col>5</xdr:col>
      <xdr:colOff>198871</xdr:colOff>
      <xdr:row>101</xdr:row>
      <xdr:rowOff>19317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93B4879D-3DA7-A540-9866-C47A15E02538}"/>
            </a:ext>
          </a:extLst>
        </xdr:cNvPr>
        <xdr:cNvCxnSpPr>
          <a:stCxn id="2" idx="4"/>
          <a:endCxn id="8" idx="0"/>
        </xdr:cNvCxnSpPr>
      </xdr:nvCxnSpPr>
      <xdr:spPr>
        <a:xfrm>
          <a:off x="930988" y="18519826"/>
          <a:ext cx="1135530" cy="3313609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183929</xdr:colOff>
      <xdr:row>89</xdr:row>
      <xdr:rowOff>291591</xdr:rowOff>
    </xdr:from>
    <xdr:to>
      <xdr:col>5</xdr:col>
      <xdr:colOff>198871</xdr:colOff>
      <xdr:row>101</xdr:row>
      <xdr:rowOff>19317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F1221A33-1D52-4F43-AE7E-B2CBF689BC2C}"/>
            </a:ext>
          </a:extLst>
        </xdr:cNvPr>
        <xdr:cNvCxnSpPr>
          <a:stCxn id="3" idx="4"/>
          <a:endCxn id="8" idx="0"/>
        </xdr:cNvCxnSpPr>
      </xdr:nvCxnSpPr>
      <xdr:spPr>
        <a:xfrm>
          <a:off x="1304517" y="18519826"/>
          <a:ext cx="762001" cy="3313609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183929</xdr:colOff>
      <xdr:row>89</xdr:row>
      <xdr:rowOff>291591</xdr:rowOff>
    </xdr:from>
    <xdr:to>
      <xdr:col>4</xdr:col>
      <xdr:colOff>198871</xdr:colOff>
      <xdr:row>101</xdr:row>
      <xdr:rowOff>19317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159216EA-EDC9-6D4F-9870-C0B785A4149E}"/>
            </a:ext>
          </a:extLst>
        </xdr:cNvPr>
        <xdr:cNvCxnSpPr>
          <a:stCxn id="3" idx="4"/>
          <a:endCxn id="7" idx="0"/>
        </xdr:cNvCxnSpPr>
      </xdr:nvCxnSpPr>
      <xdr:spPr>
        <a:xfrm>
          <a:off x="1304517" y="18519826"/>
          <a:ext cx="388472" cy="3313609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78004</xdr:colOff>
      <xdr:row>110</xdr:row>
      <xdr:rowOff>19336</xdr:rowOff>
    </xdr:from>
    <xdr:to>
      <xdr:col>2</xdr:col>
      <xdr:colOff>319737</xdr:colOff>
      <xdr:row>110</xdr:row>
      <xdr:rowOff>291155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00E4FDB9-3D78-8F43-8345-66C4723BAC01}"/>
            </a:ext>
          </a:extLst>
        </xdr:cNvPr>
        <xdr:cNvSpPr/>
      </xdr:nvSpPr>
      <xdr:spPr>
        <a:xfrm>
          <a:off x="814604" y="21050536"/>
          <a:ext cx="241733" cy="271819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78004</xdr:colOff>
      <xdr:row>110</xdr:row>
      <xdr:rowOff>19336</xdr:rowOff>
    </xdr:from>
    <xdr:to>
      <xdr:col>3</xdr:col>
      <xdr:colOff>319737</xdr:colOff>
      <xdr:row>110</xdr:row>
      <xdr:rowOff>291155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B56CA759-BD7E-9644-BCD6-BFB3687A77D5}"/>
            </a:ext>
          </a:extLst>
        </xdr:cNvPr>
        <xdr:cNvSpPr/>
      </xdr:nvSpPr>
      <xdr:spPr>
        <a:xfrm>
          <a:off x="1182904" y="21050536"/>
          <a:ext cx="241733" cy="271819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198871</xdr:colOff>
      <xdr:row>101</xdr:row>
      <xdr:rowOff>291136</xdr:rowOff>
    </xdr:from>
    <xdr:to>
      <xdr:col>2</xdr:col>
      <xdr:colOff>198871</xdr:colOff>
      <xdr:row>110</xdr:row>
      <xdr:rowOff>19336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E45C1363-E132-8846-96D2-836FFEE7AEA5}"/>
            </a:ext>
          </a:extLst>
        </xdr:cNvPr>
        <xdr:cNvCxnSpPr>
          <a:stCxn id="5" idx="4"/>
          <a:endCxn id="21" idx="0"/>
        </xdr:cNvCxnSpPr>
      </xdr:nvCxnSpPr>
      <xdr:spPr>
        <a:xfrm>
          <a:off x="935471" y="18579136"/>
          <a:ext cx="0" cy="247140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198871</xdr:colOff>
      <xdr:row>101</xdr:row>
      <xdr:rowOff>291136</xdr:rowOff>
    </xdr:from>
    <xdr:to>
      <xdr:col>3</xdr:col>
      <xdr:colOff>198871</xdr:colOff>
      <xdr:row>110</xdr:row>
      <xdr:rowOff>19336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3593657B-C641-684F-A802-74AADED1702F}"/>
            </a:ext>
          </a:extLst>
        </xdr:cNvPr>
        <xdr:cNvCxnSpPr>
          <a:stCxn id="6" idx="4"/>
          <a:endCxn id="21" idx="0"/>
        </xdr:cNvCxnSpPr>
      </xdr:nvCxnSpPr>
      <xdr:spPr>
        <a:xfrm flipH="1">
          <a:off x="935471" y="18579136"/>
          <a:ext cx="368300" cy="247140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198871</xdr:colOff>
      <xdr:row>101</xdr:row>
      <xdr:rowOff>291136</xdr:rowOff>
    </xdr:from>
    <xdr:to>
      <xdr:col>4</xdr:col>
      <xdr:colOff>198871</xdr:colOff>
      <xdr:row>110</xdr:row>
      <xdr:rowOff>19336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CB3E1C44-0CD8-6C46-A78C-094364F776A6}"/>
            </a:ext>
          </a:extLst>
        </xdr:cNvPr>
        <xdr:cNvCxnSpPr>
          <a:stCxn id="7" idx="4"/>
          <a:endCxn id="21" idx="0"/>
        </xdr:cNvCxnSpPr>
      </xdr:nvCxnSpPr>
      <xdr:spPr>
        <a:xfrm flipH="1">
          <a:off x="935471" y="18579136"/>
          <a:ext cx="736600" cy="247140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198871</xdr:colOff>
      <xdr:row>101</xdr:row>
      <xdr:rowOff>291136</xdr:rowOff>
    </xdr:from>
    <xdr:to>
      <xdr:col>5</xdr:col>
      <xdr:colOff>198871</xdr:colOff>
      <xdr:row>110</xdr:row>
      <xdr:rowOff>19336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BE13E102-E0F5-234B-835D-C00C28E5B866}"/>
            </a:ext>
          </a:extLst>
        </xdr:cNvPr>
        <xdr:cNvCxnSpPr>
          <a:stCxn id="8" idx="4"/>
          <a:endCxn id="21" idx="0"/>
        </xdr:cNvCxnSpPr>
      </xdr:nvCxnSpPr>
      <xdr:spPr>
        <a:xfrm flipH="1">
          <a:off x="935471" y="18579136"/>
          <a:ext cx="1104900" cy="247140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198871</xdr:colOff>
      <xdr:row>101</xdr:row>
      <xdr:rowOff>291136</xdr:rowOff>
    </xdr:from>
    <xdr:to>
      <xdr:col>4</xdr:col>
      <xdr:colOff>198871</xdr:colOff>
      <xdr:row>110</xdr:row>
      <xdr:rowOff>19336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E8AB0530-214C-114E-BE9F-8E9FFC895D8A}"/>
            </a:ext>
          </a:extLst>
        </xdr:cNvPr>
        <xdr:cNvCxnSpPr>
          <a:stCxn id="7" idx="4"/>
          <a:endCxn id="22" idx="0"/>
        </xdr:cNvCxnSpPr>
      </xdr:nvCxnSpPr>
      <xdr:spPr>
        <a:xfrm flipH="1">
          <a:off x="1303771" y="18579136"/>
          <a:ext cx="368300" cy="247140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198871</xdr:colOff>
      <xdr:row>101</xdr:row>
      <xdr:rowOff>291136</xdr:rowOff>
    </xdr:from>
    <xdr:to>
      <xdr:col>3</xdr:col>
      <xdr:colOff>198871</xdr:colOff>
      <xdr:row>110</xdr:row>
      <xdr:rowOff>19336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4A40EE57-7F6D-F74E-A049-B59C8148BB4E}"/>
            </a:ext>
          </a:extLst>
        </xdr:cNvPr>
        <xdr:cNvCxnSpPr>
          <a:stCxn id="6" idx="4"/>
          <a:endCxn id="22" idx="0"/>
        </xdr:cNvCxnSpPr>
      </xdr:nvCxnSpPr>
      <xdr:spPr>
        <a:xfrm>
          <a:off x="1303771" y="18579136"/>
          <a:ext cx="0" cy="247140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198871</xdr:colOff>
      <xdr:row>101</xdr:row>
      <xdr:rowOff>291136</xdr:rowOff>
    </xdr:from>
    <xdr:to>
      <xdr:col>3</xdr:col>
      <xdr:colOff>198871</xdr:colOff>
      <xdr:row>110</xdr:row>
      <xdr:rowOff>19336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BAC27657-8EA9-3C48-AD47-88667E589AB9}"/>
            </a:ext>
          </a:extLst>
        </xdr:cNvPr>
        <xdr:cNvCxnSpPr>
          <a:stCxn id="5" idx="4"/>
          <a:endCxn id="22" idx="0"/>
        </xdr:cNvCxnSpPr>
      </xdr:nvCxnSpPr>
      <xdr:spPr>
        <a:xfrm>
          <a:off x="935471" y="18579136"/>
          <a:ext cx="368300" cy="247140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198871</xdr:colOff>
      <xdr:row>101</xdr:row>
      <xdr:rowOff>291136</xdr:rowOff>
    </xdr:from>
    <xdr:to>
      <xdr:col>5</xdr:col>
      <xdr:colOff>198871</xdr:colOff>
      <xdr:row>110</xdr:row>
      <xdr:rowOff>19336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DA134D77-BDDB-054C-9B61-BD177CC28BE7}"/>
            </a:ext>
          </a:extLst>
        </xdr:cNvPr>
        <xdr:cNvCxnSpPr>
          <a:stCxn id="8" idx="4"/>
          <a:endCxn id="22" idx="0"/>
        </xdr:cNvCxnSpPr>
      </xdr:nvCxnSpPr>
      <xdr:spPr>
        <a:xfrm flipH="1">
          <a:off x="1303771" y="18579136"/>
          <a:ext cx="736600" cy="247140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198871</xdr:colOff>
      <xdr:row>74</xdr:row>
      <xdr:rowOff>291136</xdr:rowOff>
    </xdr:from>
    <xdr:to>
      <xdr:col>49</xdr:col>
      <xdr:colOff>198871</xdr:colOff>
      <xdr:row>83</xdr:row>
      <xdr:rowOff>19317</xdr:rowOff>
    </xdr:to>
    <xdr:cxnSp macro="">
      <xdr:nvCxnSpPr>
        <xdr:cNvPr id="96" name="Straight Connector 95">
          <a:extLst>
            <a:ext uri="{FF2B5EF4-FFF2-40B4-BE49-F238E27FC236}">
              <a16:creationId xmlns:a16="http://schemas.microsoft.com/office/drawing/2014/main" id="{7DA6213D-4D89-EAF0-DDF9-0A18DC263882}"/>
            </a:ext>
          </a:extLst>
        </xdr:cNvPr>
        <xdr:cNvCxnSpPr>
          <a:cxnSpLocks/>
        </xdr:cNvCxnSpPr>
      </xdr:nvCxnSpPr>
      <xdr:spPr>
        <a:xfrm>
          <a:off x="17238038" y="12461969"/>
          <a:ext cx="1111250" cy="2466619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198871</xdr:colOff>
      <xdr:row>74</xdr:row>
      <xdr:rowOff>291136</xdr:rowOff>
    </xdr:from>
    <xdr:to>
      <xdr:col>52</xdr:col>
      <xdr:colOff>198871</xdr:colOff>
      <xdr:row>83</xdr:row>
      <xdr:rowOff>19317</xdr:rowOff>
    </xdr:to>
    <xdr:cxnSp macro="">
      <xdr:nvCxnSpPr>
        <xdr:cNvPr id="99" name="Straight Connector 98">
          <a:extLst>
            <a:ext uri="{FF2B5EF4-FFF2-40B4-BE49-F238E27FC236}">
              <a16:creationId xmlns:a16="http://schemas.microsoft.com/office/drawing/2014/main" id="{78A9937A-EC43-2B4C-E43F-48023AE23384}"/>
            </a:ext>
          </a:extLst>
        </xdr:cNvPr>
        <xdr:cNvCxnSpPr>
          <a:cxnSpLocks/>
        </xdr:cNvCxnSpPr>
      </xdr:nvCxnSpPr>
      <xdr:spPr>
        <a:xfrm>
          <a:off x="18349288" y="12461969"/>
          <a:ext cx="1111250" cy="2466619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198871</xdr:colOff>
      <xdr:row>74</xdr:row>
      <xdr:rowOff>291136</xdr:rowOff>
    </xdr:from>
    <xdr:to>
      <xdr:col>55</xdr:col>
      <xdr:colOff>198871</xdr:colOff>
      <xdr:row>83</xdr:row>
      <xdr:rowOff>19317</xdr:rowOff>
    </xdr:to>
    <xdr:cxnSp macro="">
      <xdr:nvCxnSpPr>
        <xdr:cNvPr id="104" name="Straight Connector 103">
          <a:extLst>
            <a:ext uri="{FF2B5EF4-FFF2-40B4-BE49-F238E27FC236}">
              <a16:creationId xmlns:a16="http://schemas.microsoft.com/office/drawing/2014/main" id="{C8EDCFDD-DBA6-2877-08C5-CEE7DD601D1B}"/>
            </a:ext>
          </a:extLst>
        </xdr:cNvPr>
        <xdr:cNvCxnSpPr/>
      </xdr:nvCxnSpPr>
      <xdr:spPr>
        <a:xfrm>
          <a:off x="19460538" y="12461969"/>
          <a:ext cx="1111250" cy="2466619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198871</xdr:colOff>
      <xdr:row>74</xdr:row>
      <xdr:rowOff>291136</xdr:rowOff>
    </xdr:from>
    <xdr:to>
      <xdr:col>55</xdr:col>
      <xdr:colOff>198871</xdr:colOff>
      <xdr:row>83</xdr:row>
      <xdr:rowOff>19317</xdr:rowOff>
    </xdr:to>
    <xdr:cxnSp macro="">
      <xdr:nvCxnSpPr>
        <xdr:cNvPr id="105" name="Straight Connector 104">
          <a:extLst>
            <a:ext uri="{FF2B5EF4-FFF2-40B4-BE49-F238E27FC236}">
              <a16:creationId xmlns:a16="http://schemas.microsoft.com/office/drawing/2014/main" id="{F832D50B-E1C4-AA91-1EA1-D731FB545C0F}"/>
            </a:ext>
          </a:extLst>
        </xdr:cNvPr>
        <xdr:cNvCxnSpPr>
          <a:cxnSpLocks/>
        </xdr:cNvCxnSpPr>
      </xdr:nvCxnSpPr>
      <xdr:spPr>
        <a:xfrm flipH="1">
          <a:off x="19460538" y="12461969"/>
          <a:ext cx="1111250" cy="2466619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198871</xdr:colOff>
      <xdr:row>74</xdr:row>
      <xdr:rowOff>291136</xdr:rowOff>
    </xdr:from>
    <xdr:to>
      <xdr:col>55</xdr:col>
      <xdr:colOff>198871</xdr:colOff>
      <xdr:row>83</xdr:row>
      <xdr:rowOff>19317</xdr:rowOff>
    </xdr:to>
    <xdr:cxnSp macro="">
      <xdr:nvCxnSpPr>
        <xdr:cNvPr id="107" name="Straight Connector 106">
          <a:extLst>
            <a:ext uri="{FF2B5EF4-FFF2-40B4-BE49-F238E27FC236}">
              <a16:creationId xmlns:a16="http://schemas.microsoft.com/office/drawing/2014/main" id="{913A7968-37F5-50D3-BDD2-CF66AAD17183}"/>
            </a:ext>
          </a:extLst>
        </xdr:cNvPr>
        <xdr:cNvCxnSpPr>
          <a:cxnSpLocks/>
        </xdr:cNvCxnSpPr>
      </xdr:nvCxnSpPr>
      <xdr:spPr>
        <a:xfrm flipH="1">
          <a:off x="18349288" y="12461969"/>
          <a:ext cx="2222500" cy="2466619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198871</xdr:colOff>
      <xdr:row>74</xdr:row>
      <xdr:rowOff>291136</xdr:rowOff>
    </xdr:from>
    <xdr:to>
      <xdr:col>52</xdr:col>
      <xdr:colOff>198871</xdr:colOff>
      <xdr:row>83</xdr:row>
      <xdr:rowOff>19317</xdr:rowOff>
    </xdr:to>
    <xdr:cxnSp macro="">
      <xdr:nvCxnSpPr>
        <xdr:cNvPr id="109" name="Straight Connector 108">
          <a:extLst>
            <a:ext uri="{FF2B5EF4-FFF2-40B4-BE49-F238E27FC236}">
              <a16:creationId xmlns:a16="http://schemas.microsoft.com/office/drawing/2014/main" id="{FE5D250B-D458-0D03-E2EF-DEEC23C1C0BD}"/>
            </a:ext>
          </a:extLst>
        </xdr:cNvPr>
        <xdr:cNvCxnSpPr/>
      </xdr:nvCxnSpPr>
      <xdr:spPr>
        <a:xfrm flipH="1">
          <a:off x="17238038" y="12461969"/>
          <a:ext cx="2222500" cy="2466619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198871</xdr:colOff>
      <xdr:row>74</xdr:row>
      <xdr:rowOff>291136</xdr:rowOff>
    </xdr:from>
    <xdr:to>
      <xdr:col>49</xdr:col>
      <xdr:colOff>198871</xdr:colOff>
      <xdr:row>83</xdr:row>
      <xdr:rowOff>19317</xdr:rowOff>
    </xdr:to>
    <xdr:cxnSp macro="">
      <xdr:nvCxnSpPr>
        <xdr:cNvPr id="110" name="Straight Connector 109">
          <a:extLst>
            <a:ext uri="{FF2B5EF4-FFF2-40B4-BE49-F238E27FC236}">
              <a16:creationId xmlns:a16="http://schemas.microsoft.com/office/drawing/2014/main" id="{15ABAC81-0894-7742-AFD0-605F3E0D99E6}"/>
            </a:ext>
          </a:extLst>
        </xdr:cNvPr>
        <xdr:cNvCxnSpPr>
          <a:cxnSpLocks/>
        </xdr:cNvCxnSpPr>
      </xdr:nvCxnSpPr>
      <xdr:spPr>
        <a:xfrm flipH="1">
          <a:off x="17238038" y="12461969"/>
          <a:ext cx="1111250" cy="2466619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198871</xdr:colOff>
      <xdr:row>74</xdr:row>
      <xdr:rowOff>291136</xdr:rowOff>
    </xdr:from>
    <xdr:to>
      <xdr:col>46</xdr:col>
      <xdr:colOff>198871</xdr:colOff>
      <xdr:row>83</xdr:row>
      <xdr:rowOff>19317</xdr:rowOff>
    </xdr:to>
    <xdr:cxnSp macro="">
      <xdr:nvCxnSpPr>
        <xdr:cNvPr id="113" name="Straight Connector 112">
          <a:extLst>
            <a:ext uri="{FF2B5EF4-FFF2-40B4-BE49-F238E27FC236}">
              <a16:creationId xmlns:a16="http://schemas.microsoft.com/office/drawing/2014/main" id="{91E5CD8B-B657-0654-3F2C-6CA50A687861}"/>
            </a:ext>
          </a:extLst>
        </xdr:cNvPr>
        <xdr:cNvCxnSpPr>
          <a:cxnSpLocks/>
        </xdr:cNvCxnSpPr>
      </xdr:nvCxnSpPr>
      <xdr:spPr>
        <a:xfrm>
          <a:off x="17238038" y="12461969"/>
          <a:ext cx="0" cy="2466619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198871</xdr:colOff>
      <xdr:row>74</xdr:row>
      <xdr:rowOff>291136</xdr:rowOff>
    </xdr:from>
    <xdr:to>
      <xdr:col>52</xdr:col>
      <xdr:colOff>198871</xdr:colOff>
      <xdr:row>83</xdr:row>
      <xdr:rowOff>19317</xdr:rowOff>
    </xdr:to>
    <xdr:cxnSp macro="">
      <xdr:nvCxnSpPr>
        <xdr:cNvPr id="115" name="Straight Connector 114">
          <a:extLst>
            <a:ext uri="{FF2B5EF4-FFF2-40B4-BE49-F238E27FC236}">
              <a16:creationId xmlns:a16="http://schemas.microsoft.com/office/drawing/2014/main" id="{824DF121-9D1B-593A-964F-72868F9642FF}"/>
            </a:ext>
          </a:extLst>
        </xdr:cNvPr>
        <xdr:cNvCxnSpPr>
          <a:cxnSpLocks/>
        </xdr:cNvCxnSpPr>
      </xdr:nvCxnSpPr>
      <xdr:spPr>
        <a:xfrm>
          <a:off x="17238038" y="12461969"/>
          <a:ext cx="2222500" cy="2466619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198871</xdr:colOff>
      <xdr:row>74</xdr:row>
      <xdr:rowOff>291136</xdr:rowOff>
    </xdr:from>
    <xdr:to>
      <xdr:col>55</xdr:col>
      <xdr:colOff>198871</xdr:colOff>
      <xdr:row>83</xdr:row>
      <xdr:rowOff>19317</xdr:rowOff>
    </xdr:to>
    <xdr:cxnSp macro="">
      <xdr:nvCxnSpPr>
        <xdr:cNvPr id="117" name="Straight Connector 116">
          <a:extLst>
            <a:ext uri="{FF2B5EF4-FFF2-40B4-BE49-F238E27FC236}">
              <a16:creationId xmlns:a16="http://schemas.microsoft.com/office/drawing/2014/main" id="{65F1E710-627F-8008-EF04-759E6C58F47F}"/>
            </a:ext>
          </a:extLst>
        </xdr:cNvPr>
        <xdr:cNvCxnSpPr>
          <a:cxnSpLocks/>
        </xdr:cNvCxnSpPr>
      </xdr:nvCxnSpPr>
      <xdr:spPr>
        <a:xfrm>
          <a:off x="17238038" y="12461969"/>
          <a:ext cx="3333750" cy="2466619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198871</xdr:colOff>
      <xdr:row>74</xdr:row>
      <xdr:rowOff>291136</xdr:rowOff>
    </xdr:from>
    <xdr:to>
      <xdr:col>55</xdr:col>
      <xdr:colOff>198871</xdr:colOff>
      <xdr:row>83</xdr:row>
      <xdr:rowOff>19317</xdr:rowOff>
    </xdr:to>
    <xdr:cxnSp macro="">
      <xdr:nvCxnSpPr>
        <xdr:cNvPr id="119" name="Straight Connector 118">
          <a:extLst>
            <a:ext uri="{FF2B5EF4-FFF2-40B4-BE49-F238E27FC236}">
              <a16:creationId xmlns:a16="http://schemas.microsoft.com/office/drawing/2014/main" id="{F85C9EF7-216B-F68F-430E-E8923A0B3A8F}"/>
            </a:ext>
          </a:extLst>
        </xdr:cNvPr>
        <xdr:cNvCxnSpPr>
          <a:cxnSpLocks/>
        </xdr:cNvCxnSpPr>
      </xdr:nvCxnSpPr>
      <xdr:spPr>
        <a:xfrm>
          <a:off x="18349288" y="12461969"/>
          <a:ext cx="2222500" cy="2466619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198871</xdr:colOff>
      <xdr:row>74</xdr:row>
      <xdr:rowOff>291136</xdr:rowOff>
    </xdr:from>
    <xdr:to>
      <xdr:col>52</xdr:col>
      <xdr:colOff>198871</xdr:colOff>
      <xdr:row>83</xdr:row>
      <xdr:rowOff>19317</xdr:rowOff>
    </xdr:to>
    <xdr:cxnSp macro="">
      <xdr:nvCxnSpPr>
        <xdr:cNvPr id="121" name="Straight Connector 120">
          <a:extLst>
            <a:ext uri="{FF2B5EF4-FFF2-40B4-BE49-F238E27FC236}">
              <a16:creationId xmlns:a16="http://schemas.microsoft.com/office/drawing/2014/main" id="{BF7D5888-44B5-218B-8454-5D80F7E662A1}"/>
            </a:ext>
          </a:extLst>
        </xdr:cNvPr>
        <xdr:cNvCxnSpPr>
          <a:cxnSpLocks/>
        </xdr:cNvCxnSpPr>
      </xdr:nvCxnSpPr>
      <xdr:spPr>
        <a:xfrm flipH="1">
          <a:off x="18349288" y="12461969"/>
          <a:ext cx="1111250" cy="2466619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198871</xdr:colOff>
      <xdr:row>74</xdr:row>
      <xdr:rowOff>291136</xdr:rowOff>
    </xdr:from>
    <xdr:to>
      <xdr:col>55</xdr:col>
      <xdr:colOff>198871</xdr:colOff>
      <xdr:row>83</xdr:row>
      <xdr:rowOff>19317</xdr:rowOff>
    </xdr:to>
    <xdr:cxnSp macro="">
      <xdr:nvCxnSpPr>
        <xdr:cNvPr id="123" name="Straight Connector 122">
          <a:extLst>
            <a:ext uri="{FF2B5EF4-FFF2-40B4-BE49-F238E27FC236}">
              <a16:creationId xmlns:a16="http://schemas.microsoft.com/office/drawing/2014/main" id="{4E7F44B5-845B-EB3C-1655-0A344AEFC86F}"/>
            </a:ext>
          </a:extLst>
        </xdr:cNvPr>
        <xdr:cNvCxnSpPr>
          <a:cxnSpLocks/>
        </xdr:cNvCxnSpPr>
      </xdr:nvCxnSpPr>
      <xdr:spPr>
        <a:xfrm flipH="1">
          <a:off x="17238038" y="12461969"/>
          <a:ext cx="3333750" cy="2466619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198871</xdr:colOff>
      <xdr:row>74</xdr:row>
      <xdr:rowOff>291136</xdr:rowOff>
    </xdr:from>
    <xdr:to>
      <xdr:col>55</xdr:col>
      <xdr:colOff>198871</xdr:colOff>
      <xdr:row>83</xdr:row>
      <xdr:rowOff>19317</xdr:rowOff>
    </xdr:to>
    <xdr:cxnSp macro="">
      <xdr:nvCxnSpPr>
        <xdr:cNvPr id="126" name="Straight Connector 125">
          <a:extLst>
            <a:ext uri="{FF2B5EF4-FFF2-40B4-BE49-F238E27FC236}">
              <a16:creationId xmlns:a16="http://schemas.microsoft.com/office/drawing/2014/main" id="{9C7D4540-5FA9-FEF5-A7D1-CA94D342EC38}"/>
            </a:ext>
          </a:extLst>
        </xdr:cNvPr>
        <xdr:cNvCxnSpPr>
          <a:cxnSpLocks/>
        </xdr:cNvCxnSpPr>
      </xdr:nvCxnSpPr>
      <xdr:spPr>
        <a:xfrm>
          <a:off x="20571788" y="12461969"/>
          <a:ext cx="0" cy="2466619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198871</xdr:colOff>
      <xdr:row>74</xdr:row>
      <xdr:rowOff>291136</xdr:rowOff>
    </xdr:from>
    <xdr:to>
      <xdr:col>52</xdr:col>
      <xdr:colOff>198871</xdr:colOff>
      <xdr:row>83</xdr:row>
      <xdr:rowOff>19317</xdr:rowOff>
    </xdr:to>
    <xdr:cxnSp macro="">
      <xdr:nvCxnSpPr>
        <xdr:cNvPr id="130" name="Straight Connector 129">
          <a:extLst>
            <a:ext uri="{FF2B5EF4-FFF2-40B4-BE49-F238E27FC236}">
              <a16:creationId xmlns:a16="http://schemas.microsoft.com/office/drawing/2014/main" id="{DCD4377B-340E-E4E5-DF82-9DC73ED21498}"/>
            </a:ext>
          </a:extLst>
        </xdr:cNvPr>
        <xdr:cNvCxnSpPr>
          <a:cxnSpLocks/>
        </xdr:cNvCxnSpPr>
      </xdr:nvCxnSpPr>
      <xdr:spPr>
        <a:xfrm>
          <a:off x="19460538" y="12461969"/>
          <a:ext cx="0" cy="2466619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198871</xdr:colOff>
      <xdr:row>74</xdr:row>
      <xdr:rowOff>291136</xdr:rowOff>
    </xdr:from>
    <xdr:to>
      <xdr:col>49</xdr:col>
      <xdr:colOff>198871</xdr:colOff>
      <xdr:row>83</xdr:row>
      <xdr:rowOff>19317</xdr:rowOff>
    </xdr:to>
    <xdr:cxnSp macro="">
      <xdr:nvCxnSpPr>
        <xdr:cNvPr id="133" name="Straight Connector 132">
          <a:extLst>
            <a:ext uri="{FF2B5EF4-FFF2-40B4-BE49-F238E27FC236}">
              <a16:creationId xmlns:a16="http://schemas.microsoft.com/office/drawing/2014/main" id="{16A120E7-C51F-CC80-EE50-C9868E01B7E5}"/>
            </a:ext>
          </a:extLst>
        </xdr:cNvPr>
        <xdr:cNvCxnSpPr>
          <a:cxnSpLocks/>
        </xdr:cNvCxnSpPr>
      </xdr:nvCxnSpPr>
      <xdr:spPr>
        <a:xfrm>
          <a:off x="18349288" y="12461969"/>
          <a:ext cx="0" cy="2466619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112891</xdr:colOff>
      <xdr:row>4</xdr:row>
      <xdr:rowOff>42333</xdr:rowOff>
    </xdr:from>
    <xdr:to>
      <xdr:col>5</xdr:col>
      <xdr:colOff>239891</xdr:colOff>
      <xdr:row>4</xdr:row>
      <xdr:rowOff>282222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471B3AB8-0C59-FCF6-E372-A4A4FE2CC6D4}"/>
            </a:ext>
          </a:extLst>
        </xdr:cNvPr>
        <xdr:cNvSpPr/>
      </xdr:nvSpPr>
      <xdr:spPr>
        <a:xfrm>
          <a:off x="1947335" y="1255889"/>
          <a:ext cx="127000" cy="239889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112891</xdr:colOff>
      <xdr:row>7</xdr:row>
      <xdr:rowOff>42333</xdr:rowOff>
    </xdr:from>
    <xdr:to>
      <xdr:col>5</xdr:col>
      <xdr:colOff>239891</xdr:colOff>
      <xdr:row>7</xdr:row>
      <xdr:rowOff>282222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6FE835B1-F196-AE47-B49F-D07C9CAE28B7}"/>
            </a:ext>
          </a:extLst>
        </xdr:cNvPr>
        <xdr:cNvSpPr/>
      </xdr:nvSpPr>
      <xdr:spPr>
        <a:xfrm>
          <a:off x="1947335" y="1255889"/>
          <a:ext cx="127000" cy="23988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112891</xdr:colOff>
      <xdr:row>10</xdr:row>
      <xdr:rowOff>42333</xdr:rowOff>
    </xdr:from>
    <xdr:to>
      <xdr:col>5</xdr:col>
      <xdr:colOff>239891</xdr:colOff>
      <xdr:row>10</xdr:row>
      <xdr:rowOff>282222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6CBE6878-DD9E-F446-96E4-8F8B9A1ABE51}"/>
            </a:ext>
          </a:extLst>
        </xdr:cNvPr>
        <xdr:cNvSpPr/>
      </xdr:nvSpPr>
      <xdr:spPr>
        <a:xfrm>
          <a:off x="1947335" y="2166055"/>
          <a:ext cx="127000" cy="239889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176391</xdr:colOff>
      <xdr:row>4</xdr:row>
      <xdr:rowOff>282222</xdr:rowOff>
    </xdr:from>
    <xdr:to>
      <xdr:col>5</xdr:col>
      <xdr:colOff>176391</xdr:colOff>
      <xdr:row>7</xdr:row>
      <xdr:rowOff>42333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FE8F7D5D-D643-DE4F-B202-B5593D11CFA8}"/>
            </a:ext>
          </a:extLst>
        </xdr:cNvPr>
        <xdr:cNvCxnSpPr>
          <a:stCxn id="80" idx="2"/>
          <a:endCxn id="81" idx="0"/>
        </xdr:cNvCxnSpPr>
      </xdr:nvCxnSpPr>
      <xdr:spPr>
        <a:xfrm>
          <a:off x="2010835" y="1495778"/>
          <a:ext cx="0" cy="670277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176391</xdr:colOff>
      <xdr:row>7</xdr:row>
      <xdr:rowOff>282222</xdr:rowOff>
    </xdr:from>
    <xdr:to>
      <xdr:col>5</xdr:col>
      <xdr:colOff>176391</xdr:colOff>
      <xdr:row>10</xdr:row>
      <xdr:rowOff>42333</xdr:rowOff>
    </xdr:to>
    <xdr:cxnSp macro="">
      <xdr:nvCxnSpPr>
        <xdr:cNvPr id="86" name="Straight Connector 85">
          <a:extLst>
            <a:ext uri="{FF2B5EF4-FFF2-40B4-BE49-F238E27FC236}">
              <a16:creationId xmlns:a16="http://schemas.microsoft.com/office/drawing/2014/main" id="{B8CBF791-6721-1C51-C982-CBCAAE339C3B}"/>
            </a:ext>
          </a:extLst>
        </xdr:cNvPr>
        <xdr:cNvCxnSpPr>
          <a:stCxn id="81" idx="2"/>
          <a:endCxn id="82" idx="0"/>
        </xdr:cNvCxnSpPr>
      </xdr:nvCxnSpPr>
      <xdr:spPr>
        <a:xfrm>
          <a:off x="2010835" y="2405944"/>
          <a:ext cx="0" cy="670278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112891</xdr:colOff>
      <xdr:row>4</xdr:row>
      <xdr:rowOff>42333</xdr:rowOff>
    </xdr:from>
    <xdr:to>
      <xdr:col>8</xdr:col>
      <xdr:colOff>239891</xdr:colOff>
      <xdr:row>4</xdr:row>
      <xdr:rowOff>282222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4AE87272-1A0E-4444-B273-794E86BA0051}"/>
            </a:ext>
          </a:extLst>
        </xdr:cNvPr>
        <xdr:cNvSpPr/>
      </xdr:nvSpPr>
      <xdr:spPr>
        <a:xfrm>
          <a:off x="1947335" y="1255889"/>
          <a:ext cx="127000" cy="239889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112891</xdr:colOff>
      <xdr:row>7</xdr:row>
      <xdr:rowOff>42333</xdr:rowOff>
    </xdr:from>
    <xdr:to>
      <xdr:col>8</xdr:col>
      <xdr:colOff>239891</xdr:colOff>
      <xdr:row>7</xdr:row>
      <xdr:rowOff>282222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4F149A8F-4A4C-0544-95F8-FFC97682CE73}"/>
            </a:ext>
          </a:extLst>
        </xdr:cNvPr>
        <xdr:cNvSpPr/>
      </xdr:nvSpPr>
      <xdr:spPr>
        <a:xfrm>
          <a:off x="1947335" y="2166055"/>
          <a:ext cx="127000" cy="23988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112891</xdr:colOff>
      <xdr:row>10</xdr:row>
      <xdr:rowOff>42333</xdr:rowOff>
    </xdr:from>
    <xdr:to>
      <xdr:col>8</xdr:col>
      <xdr:colOff>239891</xdr:colOff>
      <xdr:row>10</xdr:row>
      <xdr:rowOff>282222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2377DA40-ECE1-6B44-99C3-3599F57D8F5F}"/>
            </a:ext>
          </a:extLst>
        </xdr:cNvPr>
        <xdr:cNvSpPr/>
      </xdr:nvSpPr>
      <xdr:spPr>
        <a:xfrm>
          <a:off x="1947335" y="3076222"/>
          <a:ext cx="127000" cy="239889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176391</xdr:colOff>
      <xdr:row>4</xdr:row>
      <xdr:rowOff>282222</xdr:rowOff>
    </xdr:from>
    <xdr:to>
      <xdr:col>8</xdr:col>
      <xdr:colOff>176391</xdr:colOff>
      <xdr:row>7</xdr:row>
      <xdr:rowOff>42333</xdr:rowOff>
    </xdr:to>
    <xdr:cxnSp macro="">
      <xdr:nvCxnSpPr>
        <xdr:cNvPr id="92" name="Straight Connector 91">
          <a:extLst>
            <a:ext uri="{FF2B5EF4-FFF2-40B4-BE49-F238E27FC236}">
              <a16:creationId xmlns:a16="http://schemas.microsoft.com/office/drawing/2014/main" id="{DFF9E689-4A00-5C42-8E51-F89B1E85756A}"/>
            </a:ext>
          </a:extLst>
        </xdr:cNvPr>
        <xdr:cNvCxnSpPr>
          <a:stCxn id="89" idx="2"/>
          <a:endCxn id="90" idx="0"/>
        </xdr:cNvCxnSpPr>
      </xdr:nvCxnSpPr>
      <xdr:spPr>
        <a:xfrm>
          <a:off x="2010835" y="1495778"/>
          <a:ext cx="0" cy="670277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176391</xdr:colOff>
      <xdr:row>7</xdr:row>
      <xdr:rowOff>282222</xdr:rowOff>
    </xdr:from>
    <xdr:to>
      <xdr:col>8</xdr:col>
      <xdr:colOff>176391</xdr:colOff>
      <xdr:row>10</xdr:row>
      <xdr:rowOff>42333</xdr:rowOff>
    </xdr:to>
    <xdr:cxnSp macro="">
      <xdr:nvCxnSpPr>
        <xdr:cNvPr id="93" name="Straight Connector 92">
          <a:extLst>
            <a:ext uri="{FF2B5EF4-FFF2-40B4-BE49-F238E27FC236}">
              <a16:creationId xmlns:a16="http://schemas.microsoft.com/office/drawing/2014/main" id="{3E4BA621-8913-1943-904C-D65756A2955E}"/>
            </a:ext>
          </a:extLst>
        </xdr:cNvPr>
        <xdr:cNvCxnSpPr>
          <a:stCxn id="90" idx="2"/>
          <a:endCxn id="91" idx="0"/>
        </xdr:cNvCxnSpPr>
      </xdr:nvCxnSpPr>
      <xdr:spPr>
        <a:xfrm>
          <a:off x="2010835" y="2405944"/>
          <a:ext cx="0" cy="670278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112891</xdr:colOff>
      <xdr:row>4</xdr:row>
      <xdr:rowOff>42333</xdr:rowOff>
    </xdr:from>
    <xdr:to>
      <xdr:col>11</xdr:col>
      <xdr:colOff>239891</xdr:colOff>
      <xdr:row>4</xdr:row>
      <xdr:rowOff>282222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A8F773A0-3E4C-9146-B259-D2FA636A85E8}"/>
            </a:ext>
          </a:extLst>
        </xdr:cNvPr>
        <xdr:cNvSpPr/>
      </xdr:nvSpPr>
      <xdr:spPr>
        <a:xfrm>
          <a:off x="3048002" y="1255889"/>
          <a:ext cx="127000" cy="239889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112891</xdr:colOff>
      <xdr:row>7</xdr:row>
      <xdr:rowOff>42333</xdr:rowOff>
    </xdr:from>
    <xdr:to>
      <xdr:col>11</xdr:col>
      <xdr:colOff>239891</xdr:colOff>
      <xdr:row>7</xdr:row>
      <xdr:rowOff>282222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09609B8A-9285-B141-B1B3-670AF708E9F5}"/>
            </a:ext>
          </a:extLst>
        </xdr:cNvPr>
        <xdr:cNvSpPr/>
      </xdr:nvSpPr>
      <xdr:spPr>
        <a:xfrm>
          <a:off x="3048002" y="2166055"/>
          <a:ext cx="127000" cy="23988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112891</xdr:colOff>
      <xdr:row>10</xdr:row>
      <xdr:rowOff>42333</xdr:rowOff>
    </xdr:from>
    <xdr:to>
      <xdr:col>11</xdr:col>
      <xdr:colOff>239891</xdr:colOff>
      <xdr:row>10</xdr:row>
      <xdr:rowOff>282222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B626F481-91AF-B44E-8C12-517CA92CF19E}"/>
            </a:ext>
          </a:extLst>
        </xdr:cNvPr>
        <xdr:cNvSpPr/>
      </xdr:nvSpPr>
      <xdr:spPr>
        <a:xfrm>
          <a:off x="3048002" y="3076222"/>
          <a:ext cx="127000" cy="239889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176391</xdr:colOff>
      <xdr:row>4</xdr:row>
      <xdr:rowOff>282222</xdr:rowOff>
    </xdr:from>
    <xdr:to>
      <xdr:col>11</xdr:col>
      <xdr:colOff>176391</xdr:colOff>
      <xdr:row>7</xdr:row>
      <xdr:rowOff>42333</xdr:rowOff>
    </xdr:to>
    <xdr:cxnSp macro="">
      <xdr:nvCxnSpPr>
        <xdr:cNvPr id="98" name="Straight Connector 97">
          <a:extLst>
            <a:ext uri="{FF2B5EF4-FFF2-40B4-BE49-F238E27FC236}">
              <a16:creationId xmlns:a16="http://schemas.microsoft.com/office/drawing/2014/main" id="{209FC500-06A5-9C49-8A04-6A907FCEFAA2}"/>
            </a:ext>
          </a:extLst>
        </xdr:cNvPr>
        <xdr:cNvCxnSpPr>
          <a:stCxn id="94" idx="2"/>
          <a:endCxn id="95" idx="0"/>
        </xdr:cNvCxnSpPr>
      </xdr:nvCxnSpPr>
      <xdr:spPr>
        <a:xfrm>
          <a:off x="3111502" y="1495778"/>
          <a:ext cx="0" cy="670277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176391</xdr:colOff>
      <xdr:row>7</xdr:row>
      <xdr:rowOff>282222</xdr:rowOff>
    </xdr:from>
    <xdr:to>
      <xdr:col>11</xdr:col>
      <xdr:colOff>176391</xdr:colOff>
      <xdr:row>10</xdr:row>
      <xdr:rowOff>42333</xdr:rowOff>
    </xdr:to>
    <xdr:cxnSp macro="">
      <xdr:nvCxnSpPr>
        <xdr:cNvPr id="100" name="Straight Connector 99">
          <a:extLst>
            <a:ext uri="{FF2B5EF4-FFF2-40B4-BE49-F238E27FC236}">
              <a16:creationId xmlns:a16="http://schemas.microsoft.com/office/drawing/2014/main" id="{C0054B62-0FC9-AB45-8582-5DB24CF4D80F}"/>
            </a:ext>
          </a:extLst>
        </xdr:cNvPr>
        <xdr:cNvCxnSpPr>
          <a:stCxn id="95" idx="2"/>
          <a:endCxn id="97" idx="0"/>
        </xdr:cNvCxnSpPr>
      </xdr:nvCxnSpPr>
      <xdr:spPr>
        <a:xfrm>
          <a:off x="3111502" y="2405944"/>
          <a:ext cx="0" cy="670278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112891</xdr:colOff>
      <xdr:row>4</xdr:row>
      <xdr:rowOff>42333</xdr:rowOff>
    </xdr:from>
    <xdr:to>
      <xdr:col>14</xdr:col>
      <xdr:colOff>239891</xdr:colOff>
      <xdr:row>4</xdr:row>
      <xdr:rowOff>282222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68E21FCB-97B7-BB46-89F8-3127FE9F323D}"/>
            </a:ext>
          </a:extLst>
        </xdr:cNvPr>
        <xdr:cNvSpPr/>
      </xdr:nvSpPr>
      <xdr:spPr>
        <a:xfrm>
          <a:off x="3048002" y="1255889"/>
          <a:ext cx="127000" cy="239889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112891</xdr:colOff>
      <xdr:row>7</xdr:row>
      <xdr:rowOff>42333</xdr:rowOff>
    </xdr:from>
    <xdr:to>
      <xdr:col>14</xdr:col>
      <xdr:colOff>239891</xdr:colOff>
      <xdr:row>7</xdr:row>
      <xdr:rowOff>282222</xdr:rowOff>
    </xdr:to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84AB13A1-1599-5445-AF47-73921C705CF4}"/>
            </a:ext>
          </a:extLst>
        </xdr:cNvPr>
        <xdr:cNvSpPr/>
      </xdr:nvSpPr>
      <xdr:spPr>
        <a:xfrm>
          <a:off x="3048002" y="2166055"/>
          <a:ext cx="127000" cy="23988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112891</xdr:colOff>
      <xdr:row>10</xdr:row>
      <xdr:rowOff>42333</xdr:rowOff>
    </xdr:from>
    <xdr:to>
      <xdr:col>14</xdr:col>
      <xdr:colOff>239891</xdr:colOff>
      <xdr:row>10</xdr:row>
      <xdr:rowOff>282222</xdr:rowOff>
    </xdr:to>
    <xdr:sp macro="" textlink="">
      <xdr:nvSpPr>
        <xdr:cNvPr id="103" name="Rectangle 102">
          <a:extLst>
            <a:ext uri="{FF2B5EF4-FFF2-40B4-BE49-F238E27FC236}">
              <a16:creationId xmlns:a16="http://schemas.microsoft.com/office/drawing/2014/main" id="{8822B07B-0AD4-E94F-8C48-E63BC504D437}"/>
            </a:ext>
          </a:extLst>
        </xdr:cNvPr>
        <xdr:cNvSpPr/>
      </xdr:nvSpPr>
      <xdr:spPr>
        <a:xfrm>
          <a:off x="3048002" y="3076222"/>
          <a:ext cx="127000" cy="239889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176391</xdr:colOff>
      <xdr:row>4</xdr:row>
      <xdr:rowOff>282222</xdr:rowOff>
    </xdr:from>
    <xdr:to>
      <xdr:col>14</xdr:col>
      <xdr:colOff>176391</xdr:colOff>
      <xdr:row>7</xdr:row>
      <xdr:rowOff>42333</xdr:rowOff>
    </xdr:to>
    <xdr:cxnSp macro="">
      <xdr:nvCxnSpPr>
        <xdr:cNvPr id="106" name="Straight Connector 105">
          <a:extLst>
            <a:ext uri="{FF2B5EF4-FFF2-40B4-BE49-F238E27FC236}">
              <a16:creationId xmlns:a16="http://schemas.microsoft.com/office/drawing/2014/main" id="{D3233CE7-593E-704E-B464-50C91219BF35}"/>
            </a:ext>
          </a:extLst>
        </xdr:cNvPr>
        <xdr:cNvCxnSpPr>
          <a:stCxn id="101" idx="2"/>
          <a:endCxn id="102" idx="0"/>
        </xdr:cNvCxnSpPr>
      </xdr:nvCxnSpPr>
      <xdr:spPr>
        <a:xfrm>
          <a:off x="3111502" y="1495778"/>
          <a:ext cx="0" cy="670277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176391</xdr:colOff>
      <xdr:row>7</xdr:row>
      <xdr:rowOff>282222</xdr:rowOff>
    </xdr:from>
    <xdr:to>
      <xdr:col>14</xdr:col>
      <xdr:colOff>176391</xdr:colOff>
      <xdr:row>10</xdr:row>
      <xdr:rowOff>42333</xdr:rowOff>
    </xdr:to>
    <xdr:cxnSp macro="">
      <xdr:nvCxnSpPr>
        <xdr:cNvPr id="108" name="Straight Connector 107">
          <a:extLst>
            <a:ext uri="{FF2B5EF4-FFF2-40B4-BE49-F238E27FC236}">
              <a16:creationId xmlns:a16="http://schemas.microsoft.com/office/drawing/2014/main" id="{37BEE424-E2E8-AD44-A9AF-EBD0F6BA3EB8}"/>
            </a:ext>
          </a:extLst>
        </xdr:cNvPr>
        <xdr:cNvCxnSpPr>
          <a:stCxn id="102" idx="2"/>
          <a:endCxn id="103" idx="0"/>
        </xdr:cNvCxnSpPr>
      </xdr:nvCxnSpPr>
      <xdr:spPr>
        <a:xfrm>
          <a:off x="3111502" y="2405944"/>
          <a:ext cx="0" cy="670278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112891</xdr:colOff>
      <xdr:row>16</xdr:row>
      <xdr:rowOff>42333</xdr:rowOff>
    </xdr:from>
    <xdr:to>
      <xdr:col>5</xdr:col>
      <xdr:colOff>239891</xdr:colOff>
      <xdr:row>16</xdr:row>
      <xdr:rowOff>282222</xdr:rowOff>
    </xdr:to>
    <xdr:sp macro="" textlink="">
      <xdr:nvSpPr>
        <xdr:cNvPr id="111" name="Rectangle 110">
          <a:extLst>
            <a:ext uri="{FF2B5EF4-FFF2-40B4-BE49-F238E27FC236}">
              <a16:creationId xmlns:a16="http://schemas.microsoft.com/office/drawing/2014/main" id="{856BF87E-C3B6-9D45-8AD6-20776BC4E8A2}"/>
            </a:ext>
          </a:extLst>
        </xdr:cNvPr>
        <xdr:cNvSpPr/>
      </xdr:nvSpPr>
      <xdr:spPr>
        <a:xfrm>
          <a:off x="1947335" y="1255889"/>
          <a:ext cx="127000" cy="239889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112891</xdr:colOff>
      <xdr:row>19</xdr:row>
      <xdr:rowOff>42333</xdr:rowOff>
    </xdr:from>
    <xdr:to>
      <xdr:col>5</xdr:col>
      <xdr:colOff>239891</xdr:colOff>
      <xdr:row>19</xdr:row>
      <xdr:rowOff>282222</xdr:rowOff>
    </xdr:to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E106C493-5640-7A4D-972D-1A3AEB97C718}"/>
            </a:ext>
          </a:extLst>
        </xdr:cNvPr>
        <xdr:cNvSpPr/>
      </xdr:nvSpPr>
      <xdr:spPr>
        <a:xfrm>
          <a:off x="1947335" y="2166055"/>
          <a:ext cx="127000" cy="23988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112891</xdr:colOff>
      <xdr:row>22</xdr:row>
      <xdr:rowOff>42333</xdr:rowOff>
    </xdr:from>
    <xdr:to>
      <xdr:col>5</xdr:col>
      <xdr:colOff>239891</xdr:colOff>
      <xdr:row>22</xdr:row>
      <xdr:rowOff>282222</xdr:rowOff>
    </xdr:to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4EA2ADEB-1343-A34C-8104-096BD08058C7}"/>
            </a:ext>
          </a:extLst>
        </xdr:cNvPr>
        <xdr:cNvSpPr/>
      </xdr:nvSpPr>
      <xdr:spPr>
        <a:xfrm>
          <a:off x="1947335" y="3076222"/>
          <a:ext cx="127000" cy="239889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176391</xdr:colOff>
      <xdr:row>16</xdr:row>
      <xdr:rowOff>282222</xdr:rowOff>
    </xdr:from>
    <xdr:to>
      <xdr:col>5</xdr:col>
      <xdr:colOff>176391</xdr:colOff>
      <xdr:row>19</xdr:row>
      <xdr:rowOff>42333</xdr:rowOff>
    </xdr:to>
    <xdr:cxnSp macro="">
      <xdr:nvCxnSpPr>
        <xdr:cNvPr id="116" name="Straight Connector 115">
          <a:extLst>
            <a:ext uri="{FF2B5EF4-FFF2-40B4-BE49-F238E27FC236}">
              <a16:creationId xmlns:a16="http://schemas.microsoft.com/office/drawing/2014/main" id="{AA82C1F4-2084-E547-88C6-5A592765FE6B}"/>
            </a:ext>
          </a:extLst>
        </xdr:cNvPr>
        <xdr:cNvCxnSpPr>
          <a:stCxn id="111" idx="2"/>
          <a:endCxn id="112" idx="0"/>
        </xdr:cNvCxnSpPr>
      </xdr:nvCxnSpPr>
      <xdr:spPr>
        <a:xfrm>
          <a:off x="2010835" y="1495778"/>
          <a:ext cx="0" cy="670277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176391</xdr:colOff>
      <xdr:row>19</xdr:row>
      <xdr:rowOff>282222</xdr:rowOff>
    </xdr:from>
    <xdr:to>
      <xdr:col>5</xdr:col>
      <xdr:colOff>176391</xdr:colOff>
      <xdr:row>22</xdr:row>
      <xdr:rowOff>42333</xdr:rowOff>
    </xdr:to>
    <xdr:cxnSp macro="">
      <xdr:nvCxnSpPr>
        <xdr:cNvPr id="118" name="Straight Connector 117">
          <a:extLst>
            <a:ext uri="{FF2B5EF4-FFF2-40B4-BE49-F238E27FC236}">
              <a16:creationId xmlns:a16="http://schemas.microsoft.com/office/drawing/2014/main" id="{BDB4F523-42BC-CB4D-916A-EB559D736121}"/>
            </a:ext>
          </a:extLst>
        </xdr:cNvPr>
        <xdr:cNvCxnSpPr>
          <a:stCxn id="112" idx="2"/>
          <a:endCxn id="114" idx="0"/>
        </xdr:cNvCxnSpPr>
      </xdr:nvCxnSpPr>
      <xdr:spPr>
        <a:xfrm>
          <a:off x="2010835" y="2405944"/>
          <a:ext cx="0" cy="670278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112891</xdr:colOff>
      <xdr:row>16</xdr:row>
      <xdr:rowOff>42333</xdr:rowOff>
    </xdr:from>
    <xdr:to>
      <xdr:col>8</xdr:col>
      <xdr:colOff>239891</xdr:colOff>
      <xdr:row>16</xdr:row>
      <xdr:rowOff>282222</xdr:rowOff>
    </xdr:to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43A3C86D-7047-BB44-961A-73543D4103CB}"/>
            </a:ext>
          </a:extLst>
        </xdr:cNvPr>
        <xdr:cNvSpPr/>
      </xdr:nvSpPr>
      <xdr:spPr>
        <a:xfrm>
          <a:off x="3048002" y="1255889"/>
          <a:ext cx="127000" cy="239889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112891</xdr:colOff>
      <xdr:row>19</xdr:row>
      <xdr:rowOff>42333</xdr:rowOff>
    </xdr:from>
    <xdr:to>
      <xdr:col>8</xdr:col>
      <xdr:colOff>239891</xdr:colOff>
      <xdr:row>19</xdr:row>
      <xdr:rowOff>282222</xdr:rowOff>
    </xdr:to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3A9A4F7F-2835-9049-ACD6-405805B78E76}"/>
            </a:ext>
          </a:extLst>
        </xdr:cNvPr>
        <xdr:cNvSpPr/>
      </xdr:nvSpPr>
      <xdr:spPr>
        <a:xfrm>
          <a:off x="3048002" y="2166055"/>
          <a:ext cx="127000" cy="23988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112891</xdr:colOff>
      <xdr:row>22</xdr:row>
      <xdr:rowOff>42333</xdr:rowOff>
    </xdr:from>
    <xdr:to>
      <xdr:col>8</xdr:col>
      <xdr:colOff>239891</xdr:colOff>
      <xdr:row>22</xdr:row>
      <xdr:rowOff>282222</xdr:rowOff>
    </xdr:to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5148FF0F-BAC9-714D-8EBB-F3F05E546C05}"/>
            </a:ext>
          </a:extLst>
        </xdr:cNvPr>
        <xdr:cNvSpPr/>
      </xdr:nvSpPr>
      <xdr:spPr>
        <a:xfrm>
          <a:off x="3048002" y="3076222"/>
          <a:ext cx="127000" cy="239889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176391</xdr:colOff>
      <xdr:row>16</xdr:row>
      <xdr:rowOff>282222</xdr:rowOff>
    </xdr:from>
    <xdr:to>
      <xdr:col>8</xdr:col>
      <xdr:colOff>176391</xdr:colOff>
      <xdr:row>19</xdr:row>
      <xdr:rowOff>42333</xdr:rowOff>
    </xdr:to>
    <xdr:cxnSp macro="">
      <xdr:nvCxnSpPr>
        <xdr:cNvPr id="125" name="Straight Connector 124">
          <a:extLst>
            <a:ext uri="{FF2B5EF4-FFF2-40B4-BE49-F238E27FC236}">
              <a16:creationId xmlns:a16="http://schemas.microsoft.com/office/drawing/2014/main" id="{67ACE666-FBF3-DA43-BDE0-3E50672EC95B}"/>
            </a:ext>
          </a:extLst>
        </xdr:cNvPr>
        <xdr:cNvCxnSpPr>
          <a:stCxn id="120" idx="2"/>
          <a:endCxn id="122" idx="0"/>
        </xdr:cNvCxnSpPr>
      </xdr:nvCxnSpPr>
      <xdr:spPr>
        <a:xfrm>
          <a:off x="3111502" y="1495778"/>
          <a:ext cx="0" cy="670277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176391</xdr:colOff>
      <xdr:row>19</xdr:row>
      <xdr:rowOff>282222</xdr:rowOff>
    </xdr:from>
    <xdr:to>
      <xdr:col>8</xdr:col>
      <xdr:colOff>176391</xdr:colOff>
      <xdr:row>22</xdr:row>
      <xdr:rowOff>42333</xdr:rowOff>
    </xdr:to>
    <xdr:cxnSp macro="">
      <xdr:nvCxnSpPr>
        <xdr:cNvPr id="127" name="Straight Connector 126">
          <a:extLst>
            <a:ext uri="{FF2B5EF4-FFF2-40B4-BE49-F238E27FC236}">
              <a16:creationId xmlns:a16="http://schemas.microsoft.com/office/drawing/2014/main" id="{2F45DA92-8A01-E947-AA2A-6FA4CEB1F104}"/>
            </a:ext>
          </a:extLst>
        </xdr:cNvPr>
        <xdr:cNvCxnSpPr>
          <a:stCxn id="122" idx="2"/>
          <a:endCxn id="124" idx="0"/>
        </xdr:cNvCxnSpPr>
      </xdr:nvCxnSpPr>
      <xdr:spPr>
        <a:xfrm>
          <a:off x="3111502" y="2405944"/>
          <a:ext cx="0" cy="670278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112891</xdr:colOff>
      <xdr:row>16</xdr:row>
      <xdr:rowOff>42333</xdr:rowOff>
    </xdr:from>
    <xdr:to>
      <xdr:col>11</xdr:col>
      <xdr:colOff>239891</xdr:colOff>
      <xdr:row>16</xdr:row>
      <xdr:rowOff>282222</xdr:rowOff>
    </xdr:to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0DE118B3-83EA-A446-9652-4A801D98A800}"/>
            </a:ext>
          </a:extLst>
        </xdr:cNvPr>
        <xdr:cNvSpPr/>
      </xdr:nvSpPr>
      <xdr:spPr>
        <a:xfrm>
          <a:off x="4148669" y="1255889"/>
          <a:ext cx="127000" cy="239889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112891</xdr:colOff>
      <xdr:row>19</xdr:row>
      <xdr:rowOff>42333</xdr:rowOff>
    </xdr:from>
    <xdr:to>
      <xdr:col>11</xdr:col>
      <xdr:colOff>239891</xdr:colOff>
      <xdr:row>19</xdr:row>
      <xdr:rowOff>282222</xdr:rowOff>
    </xdr:to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AF8A4EBE-EA71-9A40-A3D3-88A28F81702A}"/>
            </a:ext>
          </a:extLst>
        </xdr:cNvPr>
        <xdr:cNvSpPr/>
      </xdr:nvSpPr>
      <xdr:spPr>
        <a:xfrm>
          <a:off x="4148669" y="2166055"/>
          <a:ext cx="127000" cy="23988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112891</xdr:colOff>
      <xdr:row>22</xdr:row>
      <xdr:rowOff>42333</xdr:rowOff>
    </xdr:from>
    <xdr:to>
      <xdr:col>11</xdr:col>
      <xdr:colOff>239891</xdr:colOff>
      <xdr:row>22</xdr:row>
      <xdr:rowOff>282222</xdr:rowOff>
    </xdr:to>
    <xdr:sp macro="" textlink="">
      <xdr:nvSpPr>
        <xdr:cNvPr id="131" name="Rectangle 130">
          <a:extLst>
            <a:ext uri="{FF2B5EF4-FFF2-40B4-BE49-F238E27FC236}">
              <a16:creationId xmlns:a16="http://schemas.microsoft.com/office/drawing/2014/main" id="{501E3EB7-A090-974A-A40D-385E902730EB}"/>
            </a:ext>
          </a:extLst>
        </xdr:cNvPr>
        <xdr:cNvSpPr/>
      </xdr:nvSpPr>
      <xdr:spPr>
        <a:xfrm>
          <a:off x="4148669" y="3076222"/>
          <a:ext cx="127000" cy="239889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176391</xdr:colOff>
      <xdr:row>16</xdr:row>
      <xdr:rowOff>282222</xdr:rowOff>
    </xdr:from>
    <xdr:to>
      <xdr:col>11</xdr:col>
      <xdr:colOff>176391</xdr:colOff>
      <xdr:row>19</xdr:row>
      <xdr:rowOff>42333</xdr:rowOff>
    </xdr:to>
    <xdr:cxnSp macro="">
      <xdr:nvCxnSpPr>
        <xdr:cNvPr id="132" name="Straight Connector 131">
          <a:extLst>
            <a:ext uri="{FF2B5EF4-FFF2-40B4-BE49-F238E27FC236}">
              <a16:creationId xmlns:a16="http://schemas.microsoft.com/office/drawing/2014/main" id="{F451827D-D5BC-5845-8B80-610FE8DE5729}"/>
            </a:ext>
          </a:extLst>
        </xdr:cNvPr>
        <xdr:cNvCxnSpPr>
          <a:stCxn id="128" idx="2"/>
          <a:endCxn id="129" idx="0"/>
        </xdr:cNvCxnSpPr>
      </xdr:nvCxnSpPr>
      <xdr:spPr>
        <a:xfrm>
          <a:off x="4212169" y="1495778"/>
          <a:ext cx="0" cy="670277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176391</xdr:colOff>
      <xdr:row>19</xdr:row>
      <xdr:rowOff>282222</xdr:rowOff>
    </xdr:from>
    <xdr:to>
      <xdr:col>11</xdr:col>
      <xdr:colOff>176391</xdr:colOff>
      <xdr:row>22</xdr:row>
      <xdr:rowOff>42333</xdr:rowOff>
    </xdr:to>
    <xdr:cxnSp macro="">
      <xdr:nvCxnSpPr>
        <xdr:cNvPr id="134" name="Straight Connector 133">
          <a:extLst>
            <a:ext uri="{FF2B5EF4-FFF2-40B4-BE49-F238E27FC236}">
              <a16:creationId xmlns:a16="http://schemas.microsoft.com/office/drawing/2014/main" id="{4749C992-CC99-7D4D-B30F-6E0D067077A3}"/>
            </a:ext>
          </a:extLst>
        </xdr:cNvPr>
        <xdr:cNvCxnSpPr>
          <a:stCxn id="129" idx="2"/>
          <a:endCxn id="131" idx="0"/>
        </xdr:cNvCxnSpPr>
      </xdr:nvCxnSpPr>
      <xdr:spPr>
        <a:xfrm>
          <a:off x="4212169" y="2405944"/>
          <a:ext cx="0" cy="670278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112891</xdr:colOff>
      <xdr:row>16</xdr:row>
      <xdr:rowOff>42333</xdr:rowOff>
    </xdr:from>
    <xdr:to>
      <xdr:col>14</xdr:col>
      <xdr:colOff>239891</xdr:colOff>
      <xdr:row>16</xdr:row>
      <xdr:rowOff>282222</xdr:rowOff>
    </xdr:to>
    <xdr:sp macro="" textlink="">
      <xdr:nvSpPr>
        <xdr:cNvPr id="135" name="Rectangle 134">
          <a:extLst>
            <a:ext uri="{FF2B5EF4-FFF2-40B4-BE49-F238E27FC236}">
              <a16:creationId xmlns:a16="http://schemas.microsoft.com/office/drawing/2014/main" id="{8F6E2BCF-338A-A041-A4E7-EA8BA17FD394}"/>
            </a:ext>
          </a:extLst>
        </xdr:cNvPr>
        <xdr:cNvSpPr/>
      </xdr:nvSpPr>
      <xdr:spPr>
        <a:xfrm>
          <a:off x="5249335" y="1255889"/>
          <a:ext cx="127000" cy="239889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112891</xdr:colOff>
      <xdr:row>19</xdr:row>
      <xdr:rowOff>42333</xdr:rowOff>
    </xdr:from>
    <xdr:to>
      <xdr:col>14</xdr:col>
      <xdr:colOff>239891</xdr:colOff>
      <xdr:row>19</xdr:row>
      <xdr:rowOff>282222</xdr:rowOff>
    </xdr:to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FEC27943-E384-4C4F-979D-A76B78C2575D}"/>
            </a:ext>
          </a:extLst>
        </xdr:cNvPr>
        <xdr:cNvSpPr/>
      </xdr:nvSpPr>
      <xdr:spPr>
        <a:xfrm>
          <a:off x="5249335" y="2166055"/>
          <a:ext cx="127000" cy="23988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112891</xdr:colOff>
      <xdr:row>22</xdr:row>
      <xdr:rowOff>42333</xdr:rowOff>
    </xdr:from>
    <xdr:to>
      <xdr:col>14</xdr:col>
      <xdr:colOff>239891</xdr:colOff>
      <xdr:row>22</xdr:row>
      <xdr:rowOff>282222</xdr:rowOff>
    </xdr:to>
    <xdr:sp macro="" textlink="">
      <xdr:nvSpPr>
        <xdr:cNvPr id="137" name="Rectangle 136">
          <a:extLst>
            <a:ext uri="{FF2B5EF4-FFF2-40B4-BE49-F238E27FC236}">
              <a16:creationId xmlns:a16="http://schemas.microsoft.com/office/drawing/2014/main" id="{C31120C4-950B-4F40-9E97-543F50E98934}"/>
            </a:ext>
          </a:extLst>
        </xdr:cNvPr>
        <xdr:cNvSpPr/>
      </xdr:nvSpPr>
      <xdr:spPr>
        <a:xfrm>
          <a:off x="5249335" y="3076222"/>
          <a:ext cx="127000" cy="239889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176391</xdr:colOff>
      <xdr:row>16</xdr:row>
      <xdr:rowOff>282222</xdr:rowOff>
    </xdr:from>
    <xdr:to>
      <xdr:col>14</xdr:col>
      <xdr:colOff>176391</xdr:colOff>
      <xdr:row>19</xdr:row>
      <xdr:rowOff>42333</xdr:rowOff>
    </xdr:to>
    <xdr:cxnSp macro="">
      <xdr:nvCxnSpPr>
        <xdr:cNvPr id="138" name="Straight Connector 137">
          <a:extLst>
            <a:ext uri="{FF2B5EF4-FFF2-40B4-BE49-F238E27FC236}">
              <a16:creationId xmlns:a16="http://schemas.microsoft.com/office/drawing/2014/main" id="{6B53F7AC-115E-DC41-A70A-91FB159FB019}"/>
            </a:ext>
          </a:extLst>
        </xdr:cNvPr>
        <xdr:cNvCxnSpPr>
          <a:stCxn id="135" idx="2"/>
          <a:endCxn id="136" idx="0"/>
        </xdr:cNvCxnSpPr>
      </xdr:nvCxnSpPr>
      <xdr:spPr>
        <a:xfrm>
          <a:off x="5312835" y="1495778"/>
          <a:ext cx="0" cy="670277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176391</xdr:colOff>
      <xdr:row>19</xdr:row>
      <xdr:rowOff>282222</xdr:rowOff>
    </xdr:from>
    <xdr:to>
      <xdr:col>14</xdr:col>
      <xdr:colOff>176391</xdr:colOff>
      <xdr:row>22</xdr:row>
      <xdr:rowOff>42333</xdr:rowOff>
    </xdr:to>
    <xdr:cxnSp macro="">
      <xdr:nvCxnSpPr>
        <xdr:cNvPr id="139" name="Straight Connector 138">
          <a:extLst>
            <a:ext uri="{FF2B5EF4-FFF2-40B4-BE49-F238E27FC236}">
              <a16:creationId xmlns:a16="http://schemas.microsoft.com/office/drawing/2014/main" id="{688A91CF-0A1B-A243-8082-41717960D9C1}"/>
            </a:ext>
          </a:extLst>
        </xdr:cNvPr>
        <xdr:cNvCxnSpPr>
          <a:stCxn id="136" idx="2"/>
          <a:endCxn id="137" idx="0"/>
        </xdr:cNvCxnSpPr>
      </xdr:nvCxnSpPr>
      <xdr:spPr>
        <a:xfrm>
          <a:off x="5312835" y="2405944"/>
          <a:ext cx="0" cy="670278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112891</xdr:colOff>
      <xdr:row>19</xdr:row>
      <xdr:rowOff>42333</xdr:rowOff>
    </xdr:from>
    <xdr:to>
      <xdr:col>2</xdr:col>
      <xdr:colOff>239891</xdr:colOff>
      <xdr:row>19</xdr:row>
      <xdr:rowOff>282222</xdr:rowOff>
    </xdr:to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0EBFF494-76F5-9F40-A677-3B984803FB7D}"/>
            </a:ext>
          </a:extLst>
        </xdr:cNvPr>
        <xdr:cNvSpPr/>
      </xdr:nvSpPr>
      <xdr:spPr>
        <a:xfrm>
          <a:off x="1947335" y="5806722"/>
          <a:ext cx="127000" cy="23988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239891</xdr:colOff>
      <xdr:row>19</xdr:row>
      <xdr:rowOff>162278</xdr:rowOff>
    </xdr:from>
    <xdr:to>
      <xdr:col>5</xdr:col>
      <xdr:colOff>112891</xdr:colOff>
      <xdr:row>19</xdr:row>
      <xdr:rowOff>162278</xdr:rowOff>
    </xdr:to>
    <xdr:cxnSp macro="">
      <xdr:nvCxnSpPr>
        <xdr:cNvPr id="141" name="Straight Connector 140">
          <a:extLst>
            <a:ext uri="{FF2B5EF4-FFF2-40B4-BE49-F238E27FC236}">
              <a16:creationId xmlns:a16="http://schemas.microsoft.com/office/drawing/2014/main" id="{FE4CBC85-D936-F720-CDA2-36244EA7C224}"/>
            </a:ext>
          </a:extLst>
        </xdr:cNvPr>
        <xdr:cNvCxnSpPr>
          <a:stCxn id="140" idx="3"/>
          <a:endCxn id="112" idx="1"/>
        </xdr:cNvCxnSpPr>
      </xdr:nvCxnSpPr>
      <xdr:spPr>
        <a:xfrm>
          <a:off x="986950" y="5839925"/>
          <a:ext cx="993588" cy="0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239891</xdr:colOff>
      <xdr:row>19</xdr:row>
      <xdr:rowOff>162278</xdr:rowOff>
    </xdr:from>
    <xdr:to>
      <xdr:col>8</xdr:col>
      <xdr:colOff>112891</xdr:colOff>
      <xdr:row>19</xdr:row>
      <xdr:rowOff>162278</xdr:rowOff>
    </xdr:to>
    <xdr:cxnSp macro="">
      <xdr:nvCxnSpPr>
        <xdr:cNvPr id="144" name="Straight Connector 143">
          <a:extLst>
            <a:ext uri="{FF2B5EF4-FFF2-40B4-BE49-F238E27FC236}">
              <a16:creationId xmlns:a16="http://schemas.microsoft.com/office/drawing/2014/main" id="{85EE7A1A-B745-8FE6-3067-706904D3D141}"/>
            </a:ext>
          </a:extLst>
        </xdr:cNvPr>
        <xdr:cNvCxnSpPr>
          <a:stCxn id="112" idx="3"/>
          <a:endCxn id="122" idx="1"/>
        </xdr:cNvCxnSpPr>
      </xdr:nvCxnSpPr>
      <xdr:spPr>
        <a:xfrm>
          <a:off x="2074335" y="5926667"/>
          <a:ext cx="973667" cy="0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239891</xdr:colOff>
      <xdr:row>19</xdr:row>
      <xdr:rowOff>162278</xdr:rowOff>
    </xdr:from>
    <xdr:to>
      <xdr:col>11</xdr:col>
      <xdr:colOff>112891</xdr:colOff>
      <xdr:row>19</xdr:row>
      <xdr:rowOff>162278</xdr:rowOff>
    </xdr:to>
    <xdr:cxnSp macro="">
      <xdr:nvCxnSpPr>
        <xdr:cNvPr id="147" name="Straight Connector 146">
          <a:extLst>
            <a:ext uri="{FF2B5EF4-FFF2-40B4-BE49-F238E27FC236}">
              <a16:creationId xmlns:a16="http://schemas.microsoft.com/office/drawing/2014/main" id="{77FE5C89-E119-BFD2-D6FA-AFCD5BB8C3BD}"/>
            </a:ext>
          </a:extLst>
        </xdr:cNvPr>
        <xdr:cNvCxnSpPr>
          <a:stCxn id="122" idx="3"/>
          <a:endCxn id="129" idx="1"/>
        </xdr:cNvCxnSpPr>
      </xdr:nvCxnSpPr>
      <xdr:spPr>
        <a:xfrm>
          <a:off x="3175002" y="5926667"/>
          <a:ext cx="973667" cy="0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239891</xdr:colOff>
      <xdr:row>19</xdr:row>
      <xdr:rowOff>162278</xdr:rowOff>
    </xdr:from>
    <xdr:to>
      <xdr:col>14</xdr:col>
      <xdr:colOff>112891</xdr:colOff>
      <xdr:row>19</xdr:row>
      <xdr:rowOff>162278</xdr:rowOff>
    </xdr:to>
    <xdr:cxnSp macro="">
      <xdr:nvCxnSpPr>
        <xdr:cNvPr id="150" name="Straight Connector 149">
          <a:extLst>
            <a:ext uri="{FF2B5EF4-FFF2-40B4-BE49-F238E27FC236}">
              <a16:creationId xmlns:a16="http://schemas.microsoft.com/office/drawing/2014/main" id="{08579CD3-10B6-C887-31C2-7E9F9E0B54CC}"/>
            </a:ext>
          </a:extLst>
        </xdr:cNvPr>
        <xdr:cNvCxnSpPr>
          <a:stCxn id="129" idx="3"/>
          <a:endCxn id="136" idx="1"/>
        </xdr:cNvCxnSpPr>
      </xdr:nvCxnSpPr>
      <xdr:spPr>
        <a:xfrm>
          <a:off x="4275669" y="5926667"/>
          <a:ext cx="973666" cy="0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112891</xdr:colOff>
      <xdr:row>27</xdr:row>
      <xdr:rowOff>42333</xdr:rowOff>
    </xdr:from>
    <xdr:to>
      <xdr:col>5</xdr:col>
      <xdr:colOff>239891</xdr:colOff>
      <xdr:row>27</xdr:row>
      <xdr:rowOff>282222</xdr:rowOff>
    </xdr:to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0AA35D29-14A7-E344-94EB-A0EB31A01003}"/>
            </a:ext>
          </a:extLst>
        </xdr:cNvPr>
        <xdr:cNvSpPr/>
      </xdr:nvSpPr>
      <xdr:spPr>
        <a:xfrm>
          <a:off x="1953471" y="5048710"/>
          <a:ext cx="127000" cy="239889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112891</xdr:colOff>
      <xdr:row>30</xdr:row>
      <xdr:rowOff>42333</xdr:rowOff>
    </xdr:from>
    <xdr:to>
      <xdr:col>5</xdr:col>
      <xdr:colOff>239891</xdr:colOff>
      <xdr:row>30</xdr:row>
      <xdr:rowOff>282222</xdr:rowOff>
    </xdr:to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A8AB7EA3-AE3F-B846-9C25-A64FFE35EECB}"/>
            </a:ext>
          </a:extLst>
        </xdr:cNvPr>
        <xdr:cNvSpPr/>
      </xdr:nvSpPr>
      <xdr:spPr>
        <a:xfrm>
          <a:off x="1953471" y="5987405"/>
          <a:ext cx="127000" cy="239889"/>
        </a:xfrm>
        <a:prstGeom prst="rect">
          <a:avLst/>
        </a:prstGeom>
        <a:solidFill>
          <a:srgbClr val="FFFF00"/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FF00"/>
            </a:solidFill>
          </a:endParaRPr>
        </a:p>
      </xdr:txBody>
    </xdr:sp>
    <xdr:clientData/>
  </xdr:twoCellAnchor>
  <xdr:twoCellAnchor>
    <xdr:from>
      <xdr:col>5</xdr:col>
      <xdr:colOff>176391</xdr:colOff>
      <xdr:row>27</xdr:row>
      <xdr:rowOff>282222</xdr:rowOff>
    </xdr:from>
    <xdr:to>
      <xdr:col>5</xdr:col>
      <xdr:colOff>176391</xdr:colOff>
      <xdr:row>30</xdr:row>
      <xdr:rowOff>42333</xdr:rowOff>
    </xdr:to>
    <xdr:cxnSp macro="">
      <xdr:nvCxnSpPr>
        <xdr:cNvPr id="156" name="Straight Connector 155">
          <a:extLst>
            <a:ext uri="{FF2B5EF4-FFF2-40B4-BE49-F238E27FC236}">
              <a16:creationId xmlns:a16="http://schemas.microsoft.com/office/drawing/2014/main" id="{2731D0D6-5EC5-E540-A7ED-0EA6E1A05C98}"/>
            </a:ext>
          </a:extLst>
        </xdr:cNvPr>
        <xdr:cNvCxnSpPr>
          <a:stCxn id="153" idx="2"/>
          <a:endCxn id="154" idx="0"/>
        </xdr:cNvCxnSpPr>
      </xdr:nvCxnSpPr>
      <xdr:spPr>
        <a:xfrm>
          <a:off x="2016971" y="5288599"/>
          <a:ext cx="0" cy="698806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176391</xdr:colOff>
      <xdr:row>30</xdr:row>
      <xdr:rowOff>282222</xdr:rowOff>
    </xdr:from>
    <xdr:to>
      <xdr:col>5</xdr:col>
      <xdr:colOff>176391</xdr:colOff>
      <xdr:row>33</xdr:row>
      <xdr:rowOff>42333</xdr:rowOff>
    </xdr:to>
    <xdr:cxnSp macro="">
      <xdr:nvCxnSpPr>
        <xdr:cNvPr id="157" name="Straight Connector 156">
          <a:extLst>
            <a:ext uri="{FF2B5EF4-FFF2-40B4-BE49-F238E27FC236}">
              <a16:creationId xmlns:a16="http://schemas.microsoft.com/office/drawing/2014/main" id="{29CFF64F-ACFC-0B43-9DA5-F4D485584E62}"/>
            </a:ext>
          </a:extLst>
        </xdr:cNvPr>
        <xdr:cNvCxnSpPr>
          <a:cxnSpLocks/>
          <a:stCxn id="154" idx="2"/>
        </xdr:cNvCxnSpPr>
      </xdr:nvCxnSpPr>
      <xdr:spPr>
        <a:xfrm>
          <a:off x="2016971" y="6227294"/>
          <a:ext cx="0" cy="698807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112891</xdr:colOff>
      <xdr:row>27</xdr:row>
      <xdr:rowOff>42333</xdr:rowOff>
    </xdr:from>
    <xdr:to>
      <xdr:col>8</xdr:col>
      <xdr:colOff>239891</xdr:colOff>
      <xdr:row>27</xdr:row>
      <xdr:rowOff>282222</xdr:rowOff>
    </xdr:to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2A8BD060-A15F-B546-B4B5-8319B5FF3657}"/>
            </a:ext>
          </a:extLst>
        </xdr:cNvPr>
        <xdr:cNvSpPr/>
      </xdr:nvSpPr>
      <xdr:spPr>
        <a:xfrm>
          <a:off x="3057819" y="5048710"/>
          <a:ext cx="127000" cy="239889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112891</xdr:colOff>
      <xdr:row>30</xdr:row>
      <xdr:rowOff>42333</xdr:rowOff>
    </xdr:from>
    <xdr:to>
      <xdr:col>8</xdr:col>
      <xdr:colOff>239891</xdr:colOff>
      <xdr:row>30</xdr:row>
      <xdr:rowOff>282222</xdr:rowOff>
    </xdr:to>
    <xdr:sp macro="" textlink="">
      <xdr:nvSpPr>
        <xdr:cNvPr id="159" name="Rectangle 158">
          <a:extLst>
            <a:ext uri="{FF2B5EF4-FFF2-40B4-BE49-F238E27FC236}">
              <a16:creationId xmlns:a16="http://schemas.microsoft.com/office/drawing/2014/main" id="{4BFA217B-0AD5-9146-AF1E-B72C873CE324}"/>
            </a:ext>
          </a:extLst>
        </xdr:cNvPr>
        <xdr:cNvSpPr/>
      </xdr:nvSpPr>
      <xdr:spPr>
        <a:xfrm>
          <a:off x="3057819" y="5987405"/>
          <a:ext cx="127000" cy="239889"/>
        </a:xfrm>
        <a:prstGeom prst="rect">
          <a:avLst/>
        </a:prstGeom>
        <a:solidFill>
          <a:srgbClr val="FFFF00"/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176391</xdr:colOff>
      <xdr:row>27</xdr:row>
      <xdr:rowOff>282222</xdr:rowOff>
    </xdr:from>
    <xdr:to>
      <xdr:col>8</xdr:col>
      <xdr:colOff>176391</xdr:colOff>
      <xdr:row>30</xdr:row>
      <xdr:rowOff>42333</xdr:rowOff>
    </xdr:to>
    <xdr:cxnSp macro="">
      <xdr:nvCxnSpPr>
        <xdr:cNvPr id="161" name="Straight Connector 160">
          <a:extLst>
            <a:ext uri="{FF2B5EF4-FFF2-40B4-BE49-F238E27FC236}">
              <a16:creationId xmlns:a16="http://schemas.microsoft.com/office/drawing/2014/main" id="{5AE38325-1C1F-3245-A048-B83541F45E14}"/>
            </a:ext>
          </a:extLst>
        </xdr:cNvPr>
        <xdr:cNvCxnSpPr>
          <a:stCxn id="158" idx="2"/>
          <a:endCxn id="159" idx="0"/>
        </xdr:cNvCxnSpPr>
      </xdr:nvCxnSpPr>
      <xdr:spPr>
        <a:xfrm>
          <a:off x="3121319" y="5288599"/>
          <a:ext cx="0" cy="698806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176391</xdr:colOff>
      <xdr:row>30</xdr:row>
      <xdr:rowOff>282222</xdr:rowOff>
    </xdr:from>
    <xdr:to>
      <xdr:col>8</xdr:col>
      <xdr:colOff>176391</xdr:colOff>
      <xdr:row>33</xdr:row>
      <xdr:rowOff>42333</xdr:rowOff>
    </xdr:to>
    <xdr:cxnSp macro="">
      <xdr:nvCxnSpPr>
        <xdr:cNvPr id="162" name="Straight Connector 161">
          <a:extLst>
            <a:ext uri="{FF2B5EF4-FFF2-40B4-BE49-F238E27FC236}">
              <a16:creationId xmlns:a16="http://schemas.microsoft.com/office/drawing/2014/main" id="{EBAB90AE-A87F-C64D-AF62-7D744DD7F6CA}"/>
            </a:ext>
          </a:extLst>
        </xdr:cNvPr>
        <xdr:cNvCxnSpPr>
          <a:cxnSpLocks/>
          <a:stCxn id="159" idx="2"/>
        </xdr:cNvCxnSpPr>
      </xdr:nvCxnSpPr>
      <xdr:spPr>
        <a:xfrm>
          <a:off x="3121319" y="6227294"/>
          <a:ext cx="0" cy="698807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112891</xdr:colOff>
      <xdr:row>27</xdr:row>
      <xdr:rowOff>42333</xdr:rowOff>
    </xdr:from>
    <xdr:to>
      <xdr:col>11</xdr:col>
      <xdr:colOff>239891</xdr:colOff>
      <xdr:row>27</xdr:row>
      <xdr:rowOff>282222</xdr:rowOff>
    </xdr:to>
    <xdr:sp macro="" textlink="">
      <xdr:nvSpPr>
        <xdr:cNvPr id="163" name="Rectangle 162">
          <a:extLst>
            <a:ext uri="{FF2B5EF4-FFF2-40B4-BE49-F238E27FC236}">
              <a16:creationId xmlns:a16="http://schemas.microsoft.com/office/drawing/2014/main" id="{F9FF5162-3905-7342-A7B2-7A469DCA9008}"/>
            </a:ext>
          </a:extLst>
        </xdr:cNvPr>
        <xdr:cNvSpPr/>
      </xdr:nvSpPr>
      <xdr:spPr>
        <a:xfrm>
          <a:off x="4162166" y="5048710"/>
          <a:ext cx="127000" cy="239889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112891</xdr:colOff>
      <xdr:row>30</xdr:row>
      <xdr:rowOff>42333</xdr:rowOff>
    </xdr:from>
    <xdr:to>
      <xdr:col>11</xdr:col>
      <xdr:colOff>239891</xdr:colOff>
      <xdr:row>30</xdr:row>
      <xdr:rowOff>282222</xdr:rowOff>
    </xdr:to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24ED7266-46C3-2446-AC13-9C807712AD42}"/>
            </a:ext>
          </a:extLst>
        </xdr:cNvPr>
        <xdr:cNvSpPr/>
      </xdr:nvSpPr>
      <xdr:spPr>
        <a:xfrm>
          <a:off x="4162166" y="5987405"/>
          <a:ext cx="127000" cy="239889"/>
        </a:xfrm>
        <a:prstGeom prst="rect">
          <a:avLst/>
        </a:prstGeom>
        <a:solidFill>
          <a:srgbClr val="FFFF00"/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176391</xdr:colOff>
      <xdr:row>27</xdr:row>
      <xdr:rowOff>282222</xdr:rowOff>
    </xdr:from>
    <xdr:to>
      <xdr:col>11</xdr:col>
      <xdr:colOff>176391</xdr:colOff>
      <xdr:row>30</xdr:row>
      <xdr:rowOff>42333</xdr:rowOff>
    </xdr:to>
    <xdr:cxnSp macro="">
      <xdr:nvCxnSpPr>
        <xdr:cNvPr id="166" name="Straight Connector 165">
          <a:extLst>
            <a:ext uri="{FF2B5EF4-FFF2-40B4-BE49-F238E27FC236}">
              <a16:creationId xmlns:a16="http://schemas.microsoft.com/office/drawing/2014/main" id="{F7E1BBF6-F6B7-3247-A30D-6A782F0C0815}"/>
            </a:ext>
          </a:extLst>
        </xdr:cNvPr>
        <xdr:cNvCxnSpPr>
          <a:stCxn id="163" idx="2"/>
          <a:endCxn id="164" idx="0"/>
        </xdr:cNvCxnSpPr>
      </xdr:nvCxnSpPr>
      <xdr:spPr>
        <a:xfrm>
          <a:off x="4225666" y="5288599"/>
          <a:ext cx="0" cy="698806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176391</xdr:colOff>
      <xdr:row>30</xdr:row>
      <xdr:rowOff>282222</xdr:rowOff>
    </xdr:from>
    <xdr:to>
      <xdr:col>11</xdr:col>
      <xdr:colOff>176391</xdr:colOff>
      <xdr:row>33</xdr:row>
      <xdr:rowOff>42333</xdr:rowOff>
    </xdr:to>
    <xdr:cxnSp macro="">
      <xdr:nvCxnSpPr>
        <xdr:cNvPr id="167" name="Straight Connector 166">
          <a:extLst>
            <a:ext uri="{FF2B5EF4-FFF2-40B4-BE49-F238E27FC236}">
              <a16:creationId xmlns:a16="http://schemas.microsoft.com/office/drawing/2014/main" id="{9F000ADD-B460-4C4F-8A19-69CB43F2B705}"/>
            </a:ext>
          </a:extLst>
        </xdr:cNvPr>
        <xdr:cNvCxnSpPr>
          <a:cxnSpLocks/>
          <a:stCxn id="164" idx="2"/>
        </xdr:cNvCxnSpPr>
      </xdr:nvCxnSpPr>
      <xdr:spPr>
        <a:xfrm>
          <a:off x="4225666" y="6227294"/>
          <a:ext cx="0" cy="698807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112891</xdr:colOff>
      <xdr:row>27</xdr:row>
      <xdr:rowOff>42333</xdr:rowOff>
    </xdr:from>
    <xdr:to>
      <xdr:col>14</xdr:col>
      <xdr:colOff>239891</xdr:colOff>
      <xdr:row>27</xdr:row>
      <xdr:rowOff>282222</xdr:rowOff>
    </xdr:to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7C947165-79E1-2948-B73C-A6D9B550F9AB}"/>
            </a:ext>
          </a:extLst>
        </xdr:cNvPr>
        <xdr:cNvSpPr/>
      </xdr:nvSpPr>
      <xdr:spPr>
        <a:xfrm>
          <a:off x="5266514" y="5048710"/>
          <a:ext cx="127000" cy="239889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112891</xdr:colOff>
      <xdr:row>30</xdr:row>
      <xdr:rowOff>42333</xdr:rowOff>
    </xdr:from>
    <xdr:to>
      <xdr:col>14</xdr:col>
      <xdr:colOff>239891</xdr:colOff>
      <xdr:row>30</xdr:row>
      <xdr:rowOff>282222</xdr:rowOff>
    </xdr:to>
    <xdr:sp macro="" textlink="">
      <xdr:nvSpPr>
        <xdr:cNvPr id="169" name="Rectangle 168">
          <a:extLst>
            <a:ext uri="{FF2B5EF4-FFF2-40B4-BE49-F238E27FC236}">
              <a16:creationId xmlns:a16="http://schemas.microsoft.com/office/drawing/2014/main" id="{3F49FE5B-C375-8244-A70F-CA0C91658311}"/>
            </a:ext>
          </a:extLst>
        </xdr:cNvPr>
        <xdr:cNvSpPr/>
      </xdr:nvSpPr>
      <xdr:spPr>
        <a:xfrm>
          <a:off x="5266514" y="5987405"/>
          <a:ext cx="127000" cy="239889"/>
        </a:xfrm>
        <a:prstGeom prst="rect">
          <a:avLst/>
        </a:prstGeom>
        <a:solidFill>
          <a:srgbClr val="FFFF00"/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176391</xdr:colOff>
      <xdr:row>27</xdr:row>
      <xdr:rowOff>282222</xdr:rowOff>
    </xdr:from>
    <xdr:to>
      <xdr:col>14</xdr:col>
      <xdr:colOff>176391</xdr:colOff>
      <xdr:row>30</xdr:row>
      <xdr:rowOff>42333</xdr:rowOff>
    </xdr:to>
    <xdr:cxnSp macro="">
      <xdr:nvCxnSpPr>
        <xdr:cNvPr id="171" name="Straight Connector 170">
          <a:extLst>
            <a:ext uri="{FF2B5EF4-FFF2-40B4-BE49-F238E27FC236}">
              <a16:creationId xmlns:a16="http://schemas.microsoft.com/office/drawing/2014/main" id="{3761069D-E5BB-A646-95EC-BA7FE32C9543}"/>
            </a:ext>
          </a:extLst>
        </xdr:cNvPr>
        <xdr:cNvCxnSpPr>
          <a:stCxn id="168" idx="2"/>
          <a:endCxn id="169" idx="0"/>
        </xdr:cNvCxnSpPr>
      </xdr:nvCxnSpPr>
      <xdr:spPr>
        <a:xfrm>
          <a:off x="5330014" y="5288599"/>
          <a:ext cx="0" cy="698806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176391</xdr:colOff>
      <xdr:row>30</xdr:row>
      <xdr:rowOff>282222</xdr:rowOff>
    </xdr:from>
    <xdr:to>
      <xdr:col>14</xdr:col>
      <xdr:colOff>176391</xdr:colOff>
      <xdr:row>33</xdr:row>
      <xdr:rowOff>42333</xdr:rowOff>
    </xdr:to>
    <xdr:cxnSp macro="">
      <xdr:nvCxnSpPr>
        <xdr:cNvPr id="172" name="Straight Connector 171">
          <a:extLst>
            <a:ext uri="{FF2B5EF4-FFF2-40B4-BE49-F238E27FC236}">
              <a16:creationId xmlns:a16="http://schemas.microsoft.com/office/drawing/2014/main" id="{AEB9E30C-3A36-5A4F-8AE8-D52AE46F1B93}"/>
            </a:ext>
          </a:extLst>
        </xdr:cNvPr>
        <xdr:cNvCxnSpPr>
          <a:cxnSpLocks/>
          <a:stCxn id="169" idx="2"/>
        </xdr:cNvCxnSpPr>
      </xdr:nvCxnSpPr>
      <xdr:spPr>
        <a:xfrm>
          <a:off x="5330014" y="6227294"/>
          <a:ext cx="0" cy="698807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112891</xdr:colOff>
      <xdr:row>33</xdr:row>
      <xdr:rowOff>42333</xdr:rowOff>
    </xdr:from>
    <xdr:to>
      <xdr:col>5</xdr:col>
      <xdr:colOff>239891</xdr:colOff>
      <xdr:row>33</xdr:row>
      <xdr:rowOff>282222</xdr:rowOff>
    </xdr:to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02262D18-A287-8842-94E1-5904A41E9A66}"/>
            </a:ext>
          </a:extLst>
        </xdr:cNvPr>
        <xdr:cNvSpPr/>
      </xdr:nvSpPr>
      <xdr:spPr>
        <a:xfrm>
          <a:off x="1953471" y="9429290"/>
          <a:ext cx="127000" cy="23988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112891</xdr:colOff>
      <xdr:row>36</xdr:row>
      <xdr:rowOff>42333</xdr:rowOff>
    </xdr:from>
    <xdr:to>
      <xdr:col>5</xdr:col>
      <xdr:colOff>239891</xdr:colOff>
      <xdr:row>36</xdr:row>
      <xdr:rowOff>282222</xdr:rowOff>
    </xdr:to>
    <xdr:sp macro="" textlink="">
      <xdr:nvSpPr>
        <xdr:cNvPr id="179" name="Rectangle 178">
          <a:extLst>
            <a:ext uri="{FF2B5EF4-FFF2-40B4-BE49-F238E27FC236}">
              <a16:creationId xmlns:a16="http://schemas.microsoft.com/office/drawing/2014/main" id="{993510C5-98C2-F74B-81AD-A7ACD2D9F38C}"/>
            </a:ext>
          </a:extLst>
        </xdr:cNvPr>
        <xdr:cNvSpPr/>
      </xdr:nvSpPr>
      <xdr:spPr>
        <a:xfrm>
          <a:off x="1953471" y="10367985"/>
          <a:ext cx="127000" cy="239889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176391</xdr:colOff>
      <xdr:row>33</xdr:row>
      <xdr:rowOff>282222</xdr:rowOff>
    </xdr:from>
    <xdr:to>
      <xdr:col>5</xdr:col>
      <xdr:colOff>176391</xdr:colOff>
      <xdr:row>36</xdr:row>
      <xdr:rowOff>42333</xdr:rowOff>
    </xdr:to>
    <xdr:cxnSp macro="">
      <xdr:nvCxnSpPr>
        <xdr:cNvPr id="180" name="Straight Connector 179">
          <a:extLst>
            <a:ext uri="{FF2B5EF4-FFF2-40B4-BE49-F238E27FC236}">
              <a16:creationId xmlns:a16="http://schemas.microsoft.com/office/drawing/2014/main" id="{7D867F8D-0A11-B247-9D34-487AD3785BFC}"/>
            </a:ext>
          </a:extLst>
        </xdr:cNvPr>
        <xdr:cNvCxnSpPr>
          <a:stCxn id="178" idx="2"/>
          <a:endCxn id="179" idx="0"/>
        </xdr:cNvCxnSpPr>
      </xdr:nvCxnSpPr>
      <xdr:spPr>
        <a:xfrm>
          <a:off x="2016971" y="9669179"/>
          <a:ext cx="0" cy="698806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112891</xdr:colOff>
      <xdr:row>33</xdr:row>
      <xdr:rowOff>42333</xdr:rowOff>
    </xdr:from>
    <xdr:to>
      <xdr:col>8</xdr:col>
      <xdr:colOff>239891</xdr:colOff>
      <xdr:row>33</xdr:row>
      <xdr:rowOff>282222</xdr:rowOff>
    </xdr:to>
    <xdr:sp macro="" textlink="">
      <xdr:nvSpPr>
        <xdr:cNvPr id="181" name="Rectangle 180">
          <a:extLst>
            <a:ext uri="{FF2B5EF4-FFF2-40B4-BE49-F238E27FC236}">
              <a16:creationId xmlns:a16="http://schemas.microsoft.com/office/drawing/2014/main" id="{79BDBFBF-C750-3D4E-A7A9-5DFF086E225F}"/>
            </a:ext>
          </a:extLst>
        </xdr:cNvPr>
        <xdr:cNvSpPr/>
      </xdr:nvSpPr>
      <xdr:spPr>
        <a:xfrm>
          <a:off x="3057819" y="9429290"/>
          <a:ext cx="127000" cy="23988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112891</xdr:colOff>
      <xdr:row>36</xdr:row>
      <xdr:rowOff>42333</xdr:rowOff>
    </xdr:from>
    <xdr:to>
      <xdr:col>8</xdr:col>
      <xdr:colOff>239891</xdr:colOff>
      <xdr:row>36</xdr:row>
      <xdr:rowOff>282222</xdr:rowOff>
    </xdr:to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7BFA375F-92D8-1B44-9584-2737A77A9BB4}"/>
            </a:ext>
          </a:extLst>
        </xdr:cNvPr>
        <xdr:cNvSpPr/>
      </xdr:nvSpPr>
      <xdr:spPr>
        <a:xfrm>
          <a:off x="3057819" y="10367985"/>
          <a:ext cx="127000" cy="239889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176391</xdr:colOff>
      <xdr:row>33</xdr:row>
      <xdr:rowOff>282222</xdr:rowOff>
    </xdr:from>
    <xdr:to>
      <xdr:col>8</xdr:col>
      <xdr:colOff>176391</xdr:colOff>
      <xdr:row>36</xdr:row>
      <xdr:rowOff>42333</xdr:rowOff>
    </xdr:to>
    <xdr:cxnSp macro="">
      <xdr:nvCxnSpPr>
        <xdr:cNvPr id="183" name="Straight Connector 182">
          <a:extLst>
            <a:ext uri="{FF2B5EF4-FFF2-40B4-BE49-F238E27FC236}">
              <a16:creationId xmlns:a16="http://schemas.microsoft.com/office/drawing/2014/main" id="{FE4C693B-1AA9-8A44-A24A-C113CECFEDFC}"/>
            </a:ext>
          </a:extLst>
        </xdr:cNvPr>
        <xdr:cNvCxnSpPr>
          <a:stCxn id="181" idx="2"/>
          <a:endCxn id="182" idx="0"/>
        </xdr:cNvCxnSpPr>
      </xdr:nvCxnSpPr>
      <xdr:spPr>
        <a:xfrm>
          <a:off x="3121319" y="9669179"/>
          <a:ext cx="0" cy="698806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112891</xdr:colOff>
      <xdr:row>33</xdr:row>
      <xdr:rowOff>42333</xdr:rowOff>
    </xdr:from>
    <xdr:to>
      <xdr:col>11</xdr:col>
      <xdr:colOff>239891</xdr:colOff>
      <xdr:row>33</xdr:row>
      <xdr:rowOff>282222</xdr:rowOff>
    </xdr:to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0B3DBA76-F8D4-424B-A92A-44503675B143}"/>
            </a:ext>
          </a:extLst>
        </xdr:cNvPr>
        <xdr:cNvSpPr/>
      </xdr:nvSpPr>
      <xdr:spPr>
        <a:xfrm>
          <a:off x="4162166" y="9429290"/>
          <a:ext cx="127000" cy="23988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112891</xdr:colOff>
      <xdr:row>36</xdr:row>
      <xdr:rowOff>42333</xdr:rowOff>
    </xdr:from>
    <xdr:to>
      <xdr:col>11</xdr:col>
      <xdr:colOff>239891</xdr:colOff>
      <xdr:row>36</xdr:row>
      <xdr:rowOff>282222</xdr:rowOff>
    </xdr:to>
    <xdr:sp macro="" textlink="">
      <xdr:nvSpPr>
        <xdr:cNvPr id="185" name="Rectangle 184">
          <a:extLst>
            <a:ext uri="{FF2B5EF4-FFF2-40B4-BE49-F238E27FC236}">
              <a16:creationId xmlns:a16="http://schemas.microsoft.com/office/drawing/2014/main" id="{206F09B9-834A-6F48-9A59-B593CB1B5432}"/>
            </a:ext>
          </a:extLst>
        </xdr:cNvPr>
        <xdr:cNvSpPr/>
      </xdr:nvSpPr>
      <xdr:spPr>
        <a:xfrm>
          <a:off x="4162166" y="10367985"/>
          <a:ext cx="127000" cy="239889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176391</xdr:colOff>
      <xdr:row>33</xdr:row>
      <xdr:rowOff>282222</xdr:rowOff>
    </xdr:from>
    <xdr:to>
      <xdr:col>11</xdr:col>
      <xdr:colOff>176391</xdr:colOff>
      <xdr:row>36</xdr:row>
      <xdr:rowOff>42333</xdr:rowOff>
    </xdr:to>
    <xdr:cxnSp macro="">
      <xdr:nvCxnSpPr>
        <xdr:cNvPr id="186" name="Straight Connector 185">
          <a:extLst>
            <a:ext uri="{FF2B5EF4-FFF2-40B4-BE49-F238E27FC236}">
              <a16:creationId xmlns:a16="http://schemas.microsoft.com/office/drawing/2014/main" id="{79E82E64-11F6-9F40-935A-F2EA794F1F10}"/>
            </a:ext>
          </a:extLst>
        </xdr:cNvPr>
        <xdr:cNvCxnSpPr>
          <a:stCxn id="184" idx="2"/>
          <a:endCxn id="185" idx="0"/>
        </xdr:cNvCxnSpPr>
      </xdr:nvCxnSpPr>
      <xdr:spPr>
        <a:xfrm>
          <a:off x="4225666" y="9669179"/>
          <a:ext cx="0" cy="698806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112891</xdr:colOff>
      <xdr:row>33</xdr:row>
      <xdr:rowOff>42333</xdr:rowOff>
    </xdr:from>
    <xdr:to>
      <xdr:col>14</xdr:col>
      <xdr:colOff>239891</xdr:colOff>
      <xdr:row>33</xdr:row>
      <xdr:rowOff>282222</xdr:rowOff>
    </xdr:to>
    <xdr:sp macro="" textlink="">
      <xdr:nvSpPr>
        <xdr:cNvPr id="187" name="Rectangle 186">
          <a:extLst>
            <a:ext uri="{FF2B5EF4-FFF2-40B4-BE49-F238E27FC236}">
              <a16:creationId xmlns:a16="http://schemas.microsoft.com/office/drawing/2014/main" id="{3A00D814-6C85-DA4B-AD98-8CF5FF9B9088}"/>
            </a:ext>
          </a:extLst>
        </xdr:cNvPr>
        <xdr:cNvSpPr/>
      </xdr:nvSpPr>
      <xdr:spPr>
        <a:xfrm>
          <a:off x="5266514" y="9429290"/>
          <a:ext cx="127000" cy="23988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112891</xdr:colOff>
      <xdr:row>36</xdr:row>
      <xdr:rowOff>42333</xdr:rowOff>
    </xdr:from>
    <xdr:to>
      <xdr:col>14</xdr:col>
      <xdr:colOff>239891</xdr:colOff>
      <xdr:row>36</xdr:row>
      <xdr:rowOff>282222</xdr:rowOff>
    </xdr:to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8D6EBECE-50E3-7B40-822A-415C9F073F27}"/>
            </a:ext>
          </a:extLst>
        </xdr:cNvPr>
        <xdr:cNvSpPr/>
      </xdr:nvSpPr>
      <xdr:spPr>
        <a:xfrm>
          <a:off x="5266514" y="10367985"/>
          <a:ext cx="127000" cy="239889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176391</xdr:colOff>
      <xdr:row>33</xdr:row>
      <xdr:rowOff>282222</xdr:rowOff>
    </xdr:from>
    <xdr:to>
      <xdr:col>14</xdr:col>
      <xdr:colOff>176391</xdr:colOff>
      <xdr:row>36</xdr:row>
      <xdr:rowOff>42333</xdr:rowOff>
    </xdr:to>
    <xdr:cxnSp macro="">
      <xdr:nvCxnSpPr>
        <xdr:cNvPr id="189" name="Straight Connector 188">
          <a:extLst>
            <a:ext uri="{FF2B5EF4-FFF2-40B4-BE49-F238E27FC236}">
              <a16:creationId xmlns:a16="http://schemas.microsoft.com/office/drawing/2014/main" id="{B2EE9BAA-0E93-DB4C-AC87-BCF565D7590C}"/>
            </a:ext>
          </a:extLst>
        </xdr:cNvPr>
        <xdr:cNvCxnSpPr>
          <a:stCxn id="187" idx="2"/>
          <a:endCxn id="188" idx="0"/>
        </xdr:cNvCxnSpPr>
      </xdr:nvCxnSpPr>
      <xdr:spPr>
        <a:xfrm>
          <a:off x="5330014" y="9669179"/>
          <a:ext cx="0" cy="698806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176391</xdr:colOff>
      <xdr:row>27</xdr:row>
      <xdr:rowOff>282222</xdr:rowOff>
    </xdr:from>
    <xdr:to>
      <xdr:col>8</xdr:col>
      <xdr:colOff>176391</xdr:colOff>
      <xdr:row>30</xdr:row>
      <xdr:rowOff>42333</xdr:rowOff>
    </xdr:to>
    <xdr:cxnSp macro="">
      <xdr:nvCxnSpPr>
        <xdr:cNvPr id="195" name="Straight Connector 194">
          <a:extLst>
            <a:ext uri="{FF2B5EF4-FFF2-40B4-BE49-F238E27FC236}">
              <a16:creationId xmlns:a16="http://schemas.microsoft.com/office/drawing/2014/main" id="{8E1EEA21-0E47-5821-7A70-5F80593682CE}"/>
            </a:ext>
          </a:extLst>
        </xdr:cNvPr>
        <xdr:cNvCxnSpPr>
          <a:stCxn id="153" idx="2"/>
          <a:endCxn id="159" idx="0"/>
        </xdr:cNvCxnSpPr>
      </xdr:nvCxnSpPr>
      <xdr:spPr>
        <a:xfrm>
          <a:off x="2004421" y="8594949"/>
          <a:ext cx="1096818" cy="683748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176391</xdr:colOff>
      <xdr:row>27</xdr:row>
      <xdr:rowOff>282222</xdr:rowOff>
    </xdr:from>
    <xdr:to>
      <xdr:col>11</xdr:col>
      <xdr:colOff>176391</xdr:colOff>
      <xdr:row>30</xdr:row>
      <xdr:rowOff>42333</xdr:rowOff>
    </xdr:to>
    <xdr:cxnSp macro="">
      <xdr:nvCxnSpPr>
        <xdr:cNvPr id="198" name="Straight Connector 197">
          <a:extLst>
            <a:ext uri="{FF2B5EF4-FFF2-40B4-BE49-F238E27FC236}">
              <a16:creationId xmlns:a16="http://schemas.microsoft.com/office/drawing/2014/main" id="{2F0B41DD-5BAA-6D67-603F-D3EA87AAB0BB}"/>
            </a:ext>
          </a:extLst>
        </xdr:cNvPr>
        <xdr:cNvCxnSpPr>
          <a:stCxn id="153" idx="2"/>
          <a:endCxn id="164" idx="0"/>
        </xdr:cNvCxnSpPr>
      </xdr:nvCxnSpPr>
      <xdr:spPr>
        <a:xfrm>
          <a:off x="2004421" y="8594949"/>
          <a:ext cx="2193637" cy="683748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176391</xdr:colOff>
      <xdr:row>27</xdr:row>
      <xdr:rowOff>282222</xdr:rowOff>
    </xdr:from>
    <xdr:to>
      <xdr:col>14</xdr:col>
      <xdr:colOff>176391</xdr:colOff>
      <xdr:row>30</xdr:row>
      <xdr:rowOff>42333</xdr:rowOff>
    </xdr:to>
    <xdr:cxnSp macro="">
      <xdr:nvCxnSpPr>
        <xdr:cNvPr id="201" name="Straight Connector 200">
          <a:extLst>
            <a:ext uri="{FF2B5EF4-FFF2-40B4-BE49-F238E27FC236}">
              <a16:creationId xmlns:a16="http://schemas.microsoft.com/office/drawing/2014/main" id="{38A70E41-E712-33B4-4B65-701C17C4E457}"/>
            </a:ext>
          </a:extLst>
        </xdr:cNvPr>
        <xdr:cNvCxnSpPr>
          <a:endCxn id="169" idx="0"/>
        </xdr:cNvCxnSpPr>
      </xdr:nvCxnSpPr>
      <xdr:spPr>
        <a:xfrm>
          <a:off x="2004421" y="8594949"/>
          <a:ext cx="3290455" cy="683748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176391</xdr:colOff>
      <xdr:row>27</xdr:row>
      <xdr:rowOff>282222</xdr:rowOff>
    </xdr:from>
    <xdr:to>
      <xdr:col>14</xdr:col>
      <xdr:colOff>176391</xdr:colOff>
      <xdr:row>30</xdr:row>
      <xdr:rowOff>42333</xdr:rowOff>
    </xdr:to>
    <xdr:cxnSp macro="">
      <xdr:nvCxnSpPr>
        <xdr:cNvPr id="203" name="Straight Connector 202">
          <a:extLst>
            <a:ext uri="{FF2B5EF4-FFF2-40B4-BE49-F238E27FC236}">
              <a16:creationId xmlns:a16="http://schemas.microsoft.com/office/drawing/2014/main" id="{2A68A81D-C1C7-01F3-64CC-17EEB64682AB}"/>
            </a:ext>
          </a:extLst>
        </xdr:cNvPr>
        <xdr:cNvCxnSpPr>
          <a:stCxn id="163" idx="2"/>
        </xdr:cNvCxnSpPr>
      </xdr:nvCxnSpPr>
      <xdr:spPr>
        <a:xfrm>
          <a:off x="4198058" y="8594949"/>
          <a:ext cx="1096818" cy="683748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176391</xdr:colOff>
      <xdr:row>27</xdr:row>
      <xdr:rowOff>282222</xdr:rowOff>
    </xdr:from>
    <xdr:to>
      <xdr:col>14</xdr:col>
      <xdr:colOff>176391</xdr:colOff>
      <xdr:row>30</xdr:row>
      <xdr:rowOff>42333</xdr:rowOff>
    </xdr:to>
    <xdr:cxnSp macro="">
      <xdr:nvCxnSpPr>
        <xdr:cNvPr id="205" name="Straight Connector 204">
          <a:extLst>
            <a:ext uri="{FF2B5EF4-FFF2-40B4-BE49-F238E27FC236}">
              <a16:creationId xmlns:a16="http://schemas.microsoft.com/office/drawing/2014/main" id="{E673759A-EC8B-7D21-29C0-5D9A38EEFE9B}"/>
            </a:ext>
          </a:extLst>
        </xdr:cNvPr>
        <xdr:cNvCxnSpPr>
          <a:stCxn id="158" idx="2"/>
        </xdr:cNvCxnSpPr>
      </xdr:nvCxnSpPr>
      <xdr:spPr>
        <a:xfrm>
          <a:off x="3101239" y="8594949"/>
          <a:ext cx="2193637" cy="683748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176391</xdr:colOff>
      <xdr:row>27</xdr:row>
      <xdr:rowOff>282222</xdr:rowOff>
    </xdr:from>
    <xdr:to>
      <xdr:col>11</xdr:col>
      <xdr:colOff>176391</xdr:colOff>
      <xdr:row>30</xdr:row>
      <xdr:rowOff>42333</xdr:rowOff>
    </xdr:to>
    <xdr:cxnSp macro="">
      <xdr:nvCxnSpPr>
        <xdr:cNvPr id="208" name="Straight Connector 207">
          <a:extLst>
            <a:ext uri="{FF2B5EF4-FFF2-40B4-BE49-F238E27FC236}">
              <a16:creationId xmlns:a16="http://schemas.microsoft.com/office/drawing/2014/main" id="{E850FB8D-1F3C-7637-C79D-452EFC78285F}"/>
            </a:ext>
          </a:extLst>
        </xdr:cNvPr>
        <xdr:cNvCxnSpPr>
          <a:stCxn id="163" idx="2"/>
          <a:endCxn id="159" idx="0"/>
        </xdr:cNvCxnSpPr>
      </xdr:nvCxnSpPr>
      <xdr:spPr>
        <a:xfrm flipH="1">
          <a:off x="3101239" y="8594949"/>
          <a:ext cx="1096819" cy="683748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176391</xdr:colOff>
      <xdr:row>27</xdr:row>
      <xdr:rowOff>282222</xdr:rowOff>
    </xdr:from>
    <xdr:to>
      <xdr:col>11</xdr:col>
      <xdr:colOff>176391</xdr:colOff>
      <xdr:row>30</xdr:row>
      <xdr:rowOff>42333</xdr:rowOff>
    </xdr:to>
    <xdr:cxnSp macro="">
      <xdr:nvCxnSpPr>
        <xdr:cNvPr id="211" name="Straight Connector 210">
          <a:extLst>
            <a:ext uri="{FF2B5EF4-FFF2-40B4-BE49-F238E27FC236}">
              <a16:creationId xmlns:a16="http://schemas.microsoft.com/office/drawing/2014/main" id="{777DFD59-C1CE-52FF-0793-522BCD9BBE79}"/>
            </a:ext>
          </a:extLst>
        </xdr:cNvPr>
        <xdr:cNvCxnSpPr>
          <a:stCxn id="163" idx="2"/>
          <a:endCxn id="154" idx="0"/>
        </xdr:cNvCxnSpPr>
      </xdr:nvCxnSpPr>
      <xdr:spPr>
        <a:xfrm flipH="1">
          <a:off x="2004421" y="8594949"/>
          <a:ext cx="2193637" cy="683748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176391</xdr:colOff>
      <xdr:row>27</xdr:row>
      <xdr:rowOff>282222</xdr:rowOff>
    </xdr:from>
    <xdr:to>
      <xdr:col>14</xdr:col>
      <xdr:colOff>176391</xdr:colOff>
      <xdr:row>30</xdr:row>
      <xdr:rowOff>42333</xdr:rowOff>
    </xdr:to>
    <xdr:cxnSp macro="">
      <xdr:nvCxnSpPr>
        <xdr:cNvPr id="215" name="Straight Connector 214">
          <a:extLst>
            <a:ext uri="{FF2B5EF4-FFF2-40B4-BE49-F238E27FC236}">
              <a16:creationId xmlns:a16="http://schemas.microsoft.com/office/drawing/2014/main" id="{C3A8790C-D3E5-2E45-A52A-3018A8C8905B}"/>
            </a:ext>
          </a:extLst>
        </xdr:cNvPr>
        <xdr:cNvCxnSpPr>
          <a:stCxn id="168" idx="2"/>
          <a:endCxn id="164" idx="0"/>
        </xdr:cNvCxnSpPr>
      </xdr:nvCxnSpPr>
      <xdr:spPr>
        <a:xfrm flipH="1">
          <a:off x="4198058" y="8594949"/>
          <a:ext cx="1096818" cy="683748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176391</xdr:colOff>
      <xdr:row>27</xdr:row>
      <xdr:rowOff>282222</xdr:rowOff>
    </xdr:from>
    <xdr:to>
      <xdr:col>14</xdr:col>
      <xdr:colOff>176391</xdr:colOff>
      <xdr:row>30</xdr:row>
      <xdr:rowOff>42333</xdr:rowOff>
    </xdr:to>
    <xdr:cxnSp macro="">
      <xdr:nvCxnSpPr>
        <xdr:cNvPr id="220" name="Straight Connector 219">
          <a:extLst>
            <a:ext uri="{FF2B5EF4-FFF2-40B4-BE49-F238E27FC236}">
              <a16:creationId xmlns:a16="http://schemas.microsoft.com/office/drawing/2014/main" id="{D7C01019-6DCF-E87E-421C-C1C9142E1A77}"/>
            </a:ext>
          </a:extLst>
        </xdr:cNvPr>
        <xdr:cNvCxnSpPr>
          <a:stCxn id="168" idx="2"/>
          <a:endCxn id="159" idx="0"/>
        </xdr:cNvCxnSpPr>
      </xdr:nvCxnSpPr>
      <xdr:spPr>
        <a:xfrm flipH="1">
          <a:off x="3101239" y="8594949"/>
          <a:ext cx="2193637" cy="683748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176391</xdr:colOff>
      <xdr:row>27</xdr:row>
      <xdr:rowOff>282222</xdr:rowOff>
    </xdr:from>
    <xdr:to>
      <xdr:col>14</xdr:col>
      <xdr:colOff>176391</xdr:colOff>
      <xdr:row>30</xdr:row>
      <xdr:rowOff>42333</xdr:rowOff>
    </xdr:to>
    <xdr:cxnSp macro="">
      <xdr:nvCxnSpPr>
        <xdr:cNvPr id="223" name="Straight Connector 222">
          <a:extLst>
            <a:ext uri="{FF2B5EF4-FFF2-40B4-BE49-F238E27FC236}">
              <a16:creationId xmlns:a16="http://schemas.microsoft.com/office/drawing/2014/main" id="{683D7871-C969-6410-1F98-21117F1D1A8D}"/>
            </a:ext>
          </a:extLst>
        </xdr:cNvPr>
        <xdr:cNvCxnSpPr>
          <a:stCxn id="168" idx="2"/>
          <a:endCxn id="154" idx="0"/>
        </xdr:cNvCxnSpPr>
      </xdr:nvCxnSpPr>
      <xdr:spPr>
        <a:xfrm flipH="1">
          <a:off x="2004421" y="8594949"/>
          <a:ext cx="3290455" cy="683748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176391</xdr:colOff>
      <xdr:row>27</xdr:row>
      <xdr:rowOff>282222</xdr:rowOff>
    </xdr:from>
    <xdr:to>
      <xdr:col>8</xdr:col>
      <xdr:colOff>176391</xdr:colOff>
      <xdr:row>30</xdr:row>
      <xdr:rowOff>42333</xdr:rowOff>
    </xdr:to>
    <xdr:cxnSp macro="">
      <xdr:nvCxnSpPr>
        <xdr:cNvPr id="226" name="Straight Connector 225">
          <a:extLst>
            <a:ext uri="{FF2B5EF4-FFF2-40B4-BE49-F238E27FC236}">
              <a16:creationId xmlns:a16="http://schemas.microsoft.com/office/drawing/2014/main" id="{A49288D9-F13F-F510-EB22-3F08A20AB934}"/>
            </a:ext>
          </a:extLst>
        </xdr:cNvPr>
        <xdr:cNvCxnSpPr>
          <a:stCxn id="158" idx="2"/>
          <a:endCxn id="154" idx="0"/>
        </xdr:cNvCxnSpPr>
      </xdr:nvCxnSpPr>
      <xdr:spPr>
        <a:xfrm flipH="1">
          <a:off x="2004421" y="8594949"/>
          <a:ext cx="1096818" cy="683748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176391</xdr:colOff>
      <xdr:row>27</xdr:row>
      <xdr:rowOff>282222</xdr:rowOff>
    </xdr:from>
    <xdr:to>
      <xdr:col>11</xdr:col>
      <xdr:colOff>176391</xdr:colOff>
      <xdr:row>30</xdr:row>
      <xdr:rowOff>42333</xdr:rowOff>
    </xdr:to>
    <xdr:cxnSp macro="">
      <xdr:nvCxnSpPr>
        <xdr:cNvPr id="229" name="Straight Connector 228">
          <a:extLst>
            <a:ext uri="{FF2B5EF4-FFF2-40B4-BE49-F238E27FC236}">
              <a16:creationId xmlns:a16="http://schemas.microsoft.com/office/drawing/2014/main" id="{B708AE6C-C773-68E9-8D1D-7291FAA325FA}"/>
            </a:ext>
          </a:extLst>
        </xdr:cNvPr>
        <xdr:cNvCxnSpPr>
          <a:stCxn id="158" idx="2"/>
          <a:endCxn id="164" idx="0"/>
        </xdr:cNvCxnSpPr>
      </xdr:nvCxnSpPr>
      <xdr:spPr>
        <a:xfrm>
          <a:off x="3101239" y="8594949"/>
          <a:ext cx="1096819" cy="683748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112891</xdr:colOff>
      <xdr:row>74</xdr:row>
      <xdr:rowOff>42333</xdr:rowOff>
    </xdr:from>
    <xdr:to>
      <xdr:col>46</xdr:col>
      <xdr:colOff>239891</xdr:colOff>
      <xdr:row>74</xdr:row>
      <xdr:rowOff>282222</xdr:rowOff>
    </xdr:to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6D77979A-C982-354A-B5DD-0C4B6C6FB1FF}"/>
            </a:ext>
          </a:extLst>
        </xdr:cNvPr>
        <xdr:cNvSpPr/>
      </xdr:nvSpPr>
      <xdr:spPr>
        <a:xfrm>
          <a:off x="1980538" y="8110568"/>
          <a:ext cx="127000" cy="239889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112891</xdr:colOff>
      <xdr:row>74</xdr:row>
      <xdr:rowOff>42333</xdr:rowOff>
    </xdr:from>
    <xdr:to>
      <xdr:col>49</xdr:col>
      <xdr:colOff>239891</xdr:colOff>
      <xdr:row>74</xdr:row>
      <xdr:rowOff>282222</xdr:rowOff>
    </xdr:to>
    <xdr:sp macro="" textlink="">
      <xdr:nvSpPr>
        <xdr:cNvPr id="233" name="Rectangle 232">
          <a:extLst>
            <a:ext uri="{FF2B5EF4-FFF2-40B4-BE49-F238E27FC236}">
              <a16:creationId xmlns:a16="http://schemas.microsoft.com/office/drawing/2014/main" id="{153E0548-9A90-214F-A376-98CCFD14FEF4}"/>
            </a:ext>
          </a:extLst>
        </xdr:cNvPr>
        <xdr:cNvSpPr/>
      </xdr:nvSpPr>
      <xdr:spPr>
        <a:xfrm>
          <a:off x="3101126" y="8110568"/>
          <a:ext cx="127000" cy="239889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52</xdr:col>
      <xdr:colOff>112891</xdr:colOff>
      <xdr:row>74</xdr:row>
      <xdr:rowOff>42333</xdr:rowOff>
    </xdr:from>
    <xdr:to>
      <xdr:col>52</xdr:col>
      <xdr:colOff>239891</xdr:colOff>
      <xdr:row>74</xdr:row>
      <xdr:rowOff>282222</xdr:rowOff>
    </xdr:to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554155FE-B028-AB47-B257-E90484097D86}"/>
            </a:ext>
          </a:extLst>
        </xdr:cNvPr>
        <xdr:cNvSpPr/>
      </xdr:nvSpPr>
      <xdr:spPr>
        <a:xfrm>
          <a:off x="4221715" y="8110568"/>
          <a:ext cx="127000" cy="239889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55</xdr:col>
      <xdr:colOff>112891</xdr:colOff>
      <xdr:row>74</xdr:row>
      <xdr:rowOff>42333</xdr:rowOff>
    </xdr:from>
    <xdr:to>
      <xdr:col>55</xdr:col>
      <xdr:colOff>239891</xdr:colOff>
      <xdr:row>74</xdr:row>
      <xdr:rowOff>282222</xdr:rowOff>
    </xdr:to>
    <xdr:sp macro="" textlink="">
      <xdr:nvSpPr>
        <xdr:cNvPr id="235" name="Rectangle 234">
          <a:extLst>
            <a:ext uri="{FF2B5EF4-FFF2-40B4-BE49-F238E27FC236}">
              <a16:creationId xmlns:a16="http://schemas.microsoft.com/office/drawing/2014/main" id="{A6FF4C70-C830-194C-A2FC-BEFFC051587A}"/>
            </a:ext>
          </a:extLst>
        </xdr:cNvPr>
        <xdr:cNvSpPr/>
      </xdr:nvSpPr>
      <xdr:spPr>
        <a:xfrm>
          <a:off x="5342303" y="8110568"/>
          <a:ext cx="127000" cy="239889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46</xdr:col>
      <xdr:colOff>112891</xdr:colOff>
      <xdr:row>83</xdr:row>
      <xdr:rowOff>42333</xdr:rowOff>
    </xdr:from>
    <xdr:to>
      <xdr:col>46</xdr:col>
      <xdr:colOff>239891</xdr:colOff>
      <xdr:row>83</xdr:row>
      <xdr:rowOff>282222</xdr:rowOff>
    </xdr:to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D6BCED65-D39F-3A44-AD3B-FA348BC6E0F8}"/>
            </a:ext>
          </a:extLst>
        </xdr:cNvPr>
        <xdr:cNvSpPr/>
      </xdr:nvSpPr>
      <xdr:spPr>
        <a:xfrm>
          <a:off x="1980538" y="9007039"/>
          <a:ext cx="127000" cy="239889"/>
        </a:xfrm>
        <a:prstGeom prst="rect">
          <a:avLst/>
        </a:prstGeom>
        <a:solidFill>
          <a:srgbClr val="FFFF00"/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FF00"/>
            </a:solidFill>
          </a:endParaRPr>
        </a:p>
      </xdr:txBody>
    </xdr:sp>
    <xdr:clientData/>
  </xdr:twoCellAnchor>
  <xdr:twoCellAnchor>
    <xdr:from>
      <xdr:col>49</xdr:col>
      <xdr:colOff>112891</xdr:colOff>
      <xdr:row>83</xdr:row>
      <xdr:rowOff>42333</xdr:rowOff>
    </xdr:from>
    <xdr:to>
      <xdr:col>49</xdr:col>
      <xdr:colOff>239891</xdr:colOff>
      <xdr:row>83</xdr:row>
      <xdr:rowOff>282222</xdr:rowOff>
    </xdr:to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A15030F9-1413-CB4E-B2E7-25858F449CC9}"/>
            </a:ext>
          </a:extLst>
        </xdr:cNvPr>
        <xdr:cNvSpPr/>
      </xdr:nvSpPr>
      <xdr:spPr>
        <a:xfrm>
          <a:off x="3101126" y="9007039"/>
          <a:ext cx="127000" cy="239889"/>
        </a:xfrm>
        <a:prstGeom prst="rect">
          <a:avLst/>
        </a:prstGeom>
        <a:solidFill>
          <a:srgbClr val="FFFF00"/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52</xdr:col>
      <xdr:colOff>112891</xdr:colOff>
      <xdr:row>83</xdr:row>
      <xdr:rowOff>42333</xdr:rowOff>
    </xdr:from>
    <xdr:to>
      <xdr:col>52</xdr:col>
      <xdr:colOff>239891</xdr:colOff>
      <xdr:row>83</xdr:row>
      <xdr:rowOff>282222</xdr:rowOff>
    </xdr:to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125034CF-7BDA-994B-AB4E-2BDFF554C6E2}"/>
            </a:ext>
          </a:extLst>
        </xdr:cNvPr>
        <xdr:cNvSpPr/>
      </xdr:nvSpPr>
      <xdr:spPr>
        <a:xfrm>
          <a:off x="4221715" y="9007039"/>
          <a:ext cx="127000" cy="239889"/>
        </a:xfrm>
        <a:prstGeom prst="rect">
          <a:avLst/>
        </a:prstGeom>
        <a:solidFill>
          <a:srgbClr val="FFFF00"/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55</xdr:col>
      <xdr:colOff>112891</xdr:colOff>
      <xdr:row>83</xdr:row>
      <xdr:rowOff>42333</xdr:rowOff>
    </xdr:from>
    <xdr:to>
      <xdr:col>55</xdr:col>
      <xdr:colOff>239891</xdr:colOff>
      <xdr:row>83</xdr:row>
      <xdr:rowOff>282222</xdr:rowOff>
    </xdr:to>
    <xdr:sp macro="" textlink="">
      <xdr:nvSpPr>
        <xdr:cNvPr id="263" name="Rectangle 262">
          <a:extLst>
            <a:ext uri="{FF2B5EF4-FFF2-40B4-BE49-F238E27FC236}">
              <a16:creationId xmlns:a16="http://schemas.microsoft.com/office/drawing/2014/main" id="{1E88179D-226E-EB45-BC84-0C5AB0EC367A}"/>
            </a:ext>
          </a:extLst>
        </xdr:cNvPr>
        <xdr:cNvSpPr/>
      </xdr:nvSpPr>
      <xdr:spPr>
        <a:xfrm>
          <a:off x="5342303" y="9007039"/>
          <a:ext cx="127000" cy="239889"/>
        </a:xfrm>
        <a:prstGeom prst="rect">
          <a:avLst/>
        </a:prstGeom>
        <a:solidFill>
          <a:srgbClr val="FFFF00"/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78004</xdr:colOff>
      <xdr:row>83</xdr:row>
      <xdr:rowOff>4830</xdr:rowOff>
    </xdr:from>
    <xdr:to>
      <xdr:col>2</xdr:col>
      <xdr:colOff>319737</xdr:colOff>
      <xdr:row>83</xdr:row>
      <xdr:rowOff>276649</xdr:rowOff>
    </xdr:to>
    <xdr:sp macro="" textlink="">
      <xdr:nvSpPr>
        <xdr:cNvPr id="264" name="Oval 263">
          <a:extLst>
            <a:ext uri="{FF2B5EF4-FFF2-40B4-BE49-F238E27FC236}">
              <a16:creationId xmlns:a16="http://schemas.microsoft.com/office/drawing/2014/main" id="{DAC19BA9-A1DA-404A-B9CD-A5697CB68A68}"/>
            </a:ext>
          </a:extLst>
        </xdr:cNvPr>
        <xdr:cNvSpPr/>
      </xdr:nvSpPr>
      <xdr:spPr>
        <a:xfrm>
          <a:off x="825063" y="19129536"/>
          <a:ext cx="241733" cy="271819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78004</xdr:colOff>
      <xdr:row>83</xdr:row>
      <xdr:rowOff>4830</xdr:rowOff>
    </xdr:from>
    <xdr:to>
      <xdr:col>3</xdr:col>
      <xdr:colOff>319737</xdr:colOff>
      <xdr:row>83</xdr:row>
      <xdr:rowOff>276649</xdr:rowOff>
    </xdr:to>
    <xdr:sp macro="" textlink="">
      <xdr:nvSpPr>
        <xdr:cNvPr id="265" name="Oval 264">
          <a:extLst>
            <a:ext uri="{FF2B5EF4-FFF2-40B4-BE49-F238E27FC236}">
              <a16:creationId xmlns:a16="http://schemas.microsoft.com/office/drawing/2014/main" id="{F6E913FC-8133-6746-8AA8-85962DBEB134}"/>
            </a:ext>
          </a:extLst>
        </xdr:cNvPr>
        <xdr:cNvSpPr/>
      </xdr:nvSpPr>
      <xdr:spPr>
        <a:xfrm>
          <a:off x="1198592" y="19129536"/>
          <a:ext cx="241733" cy="271819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78004</xdr:colOff>
      <xdr:row>83</xdr:row>
      <xdr:rowOff>4830</xdr:rowOff>
    </xdr:from>
    <xdr:to>
      <xdr:col>4</xdr:col>
      <xdr:colOff>319737</xdr:colOff>
      <xdr:row>83</xdr:row>
      <xdr:rowOff>276649</xdr:rowOff>
    </xdr:to>
    <xdr:sp macro="" textlink="">
      <xdr:nvSpPr>
        <xdr:cNvPr id="266" name="Oval 265">
          <a:extLst>
            <a:ext uri="{FF2B5EF4-FFF2-40B4-BE49-F238E27FC236}">
              <a16:creationId xmlns:a16="http://schemas.microsoft.com/office/drawing/2014/main" id="{413D6378-69D6-7545-9CB9-768E82DF4BEC}"/>
            </a:ext>
          </a:extLst>
        </xdr:cNvPr>
        <xdr:cNvSpPr/>
      </xdr:nvSpPr>
      <xdr:spPr>
        <a:xfrm>
          <a:off x="1572122" y="19129536"/>
          <a:ext cx="241733" cy="271819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243563</xdr:colOff>
      <xdr:row>74</xdr:row>
      <xdr:rowOff>0</xdr:rowOff>
    </xdr:from>
    <xdr:to>
      <xdr:col>39</xdr:col>
      <xdr:colOff>181428</xdr:colOff>
      <xdr:row>86</xdr:row>
      <xdr:rowOff>0</xdr:rowOff>
    </xdr:to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4B3BC7C3-B2CA-2944-82FA-CE4AC7083950}"/>
            </a:ext>
          </a:extLst>
        </xdr:cNvPr>
        <xdr:cNvSpPr/>
      </xdr:nvSpPr>
      <xdr:spPr>
        <a:xfrm>
          <a:off x="2783563" y="21969351"/>
          <a:ext cx="11549294" cy="356259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3000">
              <a:solidFill>
                <a:schemeClr val="tx1"/>
              </a:solidFill>
            </a:rPr>
            <a:t>Attention</a:t>
          </a:r>
        </a:p>
      </xdr:txBody>
    </xdr:sp>
    <xdr:clientData/>
  </xdr:twoCellAnchor>
  <xdr:twoCellAnchor>
    <xdr:from>
      <xdr:col>7</xdr:col>
      <xdr:colOff>227107</xdr:colOff>
      <xdr:row>87</xdr:row>
      <xdr:rowOff>242793</xdr:rowOff>
    </xdr:from>
    <xdr:to>
      <xdr:col>25</xdr:col>
      <xdr:colOff>261472</xdr:colOff>
      <xdr:row>112</xdr:row>
      <xdr:rowOff>186764</xdr:rowOff>
    </xdr:to>
    <xdr:sp macro="" textlink="">
      <xdr:nvSpPr>
        <xdr:cNvPr id="283" name="Rectangle 282">
          <a:extLst>
            <a:ext uri="{FF2B5EF4-FFF2-40B4-BE49-F238E27FC236}">
              <a16:creationId xmlns:a16="http://schemas.microsoft.com/office/drawing/2014/main" id="{C51EBC56-4BED-FD4D-9A9C-7C906ABDDCC6}"/>
            </a:ext>
          </a:extLst>
        </xdr:cNvPr>
        <xdr:cNvSpPr/>
      </xdr:nvSpPr>
      <xdr:spPr>
        <a:xfrm>
          <a:off x="2841813" y="17275734"/>
          <a:ext cx="6757894" cy="7414559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3000">
              <a:solidFill>
                <a:schemeClr val="tx1"/>
              </a:solidFill>
            </a:rPr>
            <a:t>MLP</a:t>
          </a:r>
        </a:p>
      </xdr:txBody>
    </xdr:sp>
    <xdr:clientData/>
  </xdr:twoCellAnchor>
  <xdr:twoCellAnchor>
    <xdr:from>
      <xdr:col>1</xdr:col>
      <xdr:colOff>149412</xdr:colOff>
      <xdr:row>117</xdr:row>
      <xdr:rowOff>280147</xdr:rowOff>
    </xdr:from>
    <xdr:to>
      <xdr:col>20</xdr:col>
      <xdr:colOff>74707</xdr:colOff>
      <xdr:row>128</xdr:row>
      <xdr:rowOff>130735</xdr:rowOff>
    </xdr:to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788C7ABF-B027-354D-8B90-D9E44BB99BB8}"/>
            </a:ext>
          </a:extLst>
        </xdr:cNvPr>
        <xdr:cNvSpPr/>
      </xdr:nvSpPr>
      <xdr:spPr>
        <a:xfrm>
          <a:off x="2390588" y="26277794"/>
          <a:ext cx="7022354" cy="313764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3000">
              <a:solidFill>
                <a:schemeClr val="tx1"/>
              </a:solidFill>
            </a:rPr>
            <a:t>Attention</a:t>
          </a:r>
        </a:p>
      </xdr:txBody>
    </xdr:sp>
    <xdr:clientData/>
  </xdr:twoCellAnchor>
  <xdr:twoCellAnchor>
    <xdr:from>
      <xdr:col>1</xdr:col>
      <xdr:colOff>130736</xdr:colOff>
      <xdr:row>129</xdr:row>
      <xdr:rowOff>0</xdr:rowOff>
    </xdr:from>
    <xdr:to>
      <xdr:col>20</xdr:col>
      <xdr:colOff>56031</xdr:colOff>
      <xdr:row>153</xdr:row>
      <xdr:rowOff>149412</xdr:rowOff>
    </xdr:to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975AA2B9-F428-5649-AAC9-64C2AB71A34D}"/>
            </a:ext>
          </a:extLst>
        </xdr:cNvPr>
        <xdr:cNvSpPr/>
      </xdr:nvSpPr>
      <xdr:spPr>
        <a:xfrm>
          <a:off x="2371912" y="29583529"/>
          <a:ext cx="7022354" cy="732117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3000">
              <a:solidFill>
                <a:schemeClr val="tx1"/>
              </a:solidFill>
            </a:rPr>
            <a:t>MLP</a:t>
          </a:r>
        </a:p>
      </xdr:txBody>
    </xdr:sp>
    <xdr:clientData/>
  </xdr:twoCellAnchor>
  <xdr:twoCellAnchor>
    <xdr:from>
      <xdr:col>26</xdr:col>
      <xdr:colOff>298823</xdr:colOff>
      <xdr:row>80</xdr:row>
      <xdr:rowOff>205442</xdr:rowOff>
    </xdr:from>
    <xdr:to>
      <xdr:col>38</xdr:col>
      <xdr:colOff>263897</xdr:colOff>
      <xdr:row>85</xdr:row>
      <xdr:rowOff>112060</xdr:rowOff>
    </xdr:to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4540B982-502A-E04C-AA14-1E1F91C18013}"/>
            </a:ext>
          </a:extLst>
        </xdr:cNvPr>
        <xdr:cNvSpPr/>
      </xdr:nvSpPr>
      <xdr:spPr>
        <a:xfrm>
          <a:off x="9733109" y="23956091"/>
          <a:ext cx="4319359" cy="1391034"/>
        </a:xfrm>
        <a:prstGeom prst="rect">
          <a:avLst/>
        </a:prstGeom>
        <a:noFill/>
        <a:ln>
          <a:prstDash val="sysDot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301812</xdr:colOff>
      <xdr:row>88</xdr:row>
      <xdr:rowOff>171076</xdr:rowOff>
    </xdr:from>
    <xdr:to>
      <xdr:col>24</xdr:col>
      <xdr:colOff>149412</xdr:colOff>
      <xdr:row>93</xdr:row>
      <xdr:rowOff>77695</xdr:rowOff>
    </xdr:to>
    <xdr:sp macro="" textlink="">
      <xdr:nvSpPr>
        <xdr:cNvPr id="287" name="Rectangle 286">
          <a:extLst>
            <a:ext uri="{FF2B5EF4-FFF2-40B4-BE49-F238E27FC236}">
              <a16:creationId xmlns:a16="http://schemas.microsoft.com/office/drawing/2014/main" id="{6D5A25A9-E714-DB45-9239-431709C5886B}"/>
            </a:ext>
          </a:extLst>
        </xdr:cNvPr>
        <xdr:cNvSpPr/>
      </xdr:nvSpPr>
      <xdr:spPr>
        <a:xfrm>
          <a:off x="4784165" y="17502841"/>
          <a:ext cx="4329953" cy="1400736"/>
        </a:xfrm>
        <a:prstGeom prst="rect">
          <a:avLst/>
        </a:prstGeom>
        <a:noFill/>
        <a:ln>
          <a:prstDash val="sysDot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225613</xdr:colOff>
      <xdr:row>85</xdr:row>
      <xdr:rowOff>112059</xdr:rowOff>
    </xdr:from>
    <xdr:to>
      <xdr:col>32</xdr:col>
      <xdr:colOff>281361</xdr:colOff>
      <xdr:row>88</xdr:row>
      <xdr:rowOff>171075</xdr:rowOff>
    </xdr:to>
    <xdr:cxnSp macro="">
      <xdr:nvCxnSpPr>
        <xdr:cNvPr id="289" name="Curved Connector 288">
          <a:extLst>
            <a:ext uri="{FF2B5EF4-FFF2-40B4-BE49-F238E27FC236}">
              <a16:creationId xmlns:a16="http://schemas.microsoft.com/office/drawing/2014/main" id="{210EDA33-CED3-B048-812C-2D6E8AEE7C79}"/>
            </a:ext>
          </a:extLst>
        </xdr:cNvPr>
        <xdr:cNvCxnSpPr>
          <a:stCxn id="286" idx="2"/>
          <a:endCxn id="287" idx="0"/>
        </xdr:cNvCxnSpPr>
      </xdr:nvCxnSpPr>
      <xdr:spPr>
        <a:xfrm rot="5400000">
          <a:off x="8850083" y="23254083"/>
          <a:ext cx="949665" cy="5135748"/>
        </a:xfrm>
        <a:prstGeom prst="curved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280147</xdr:colOff>
      <xdr:row>129</xdr:row>
      <xdr:rowOff>56029</xdr:rowOff>
    </xdr:from>
    <xdr:to>
      <xdr:col>13</xdr:col>
      <xdr:colOff>168089</xdr:colOff>
      <xdr:row>133</xdr:row>
      <xdr:rowOff>261470</xdr:rowOff>
    </xdr:to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E3EC6DBA-7DD5-5846-A91C-471C518AA167}"/>
            </a:ext>
          </a:extLst>
        </xdr:cNvPr>
        <xdr:cNvSpPr/>
      </xdr:nvSpPr>
      <xdr:spPr>
        <a:xfrm>
          <a:off x="5136029" y="29639558"/>
          <a:ext cx="1755589" cy="1400736"/>
        </a:xfrm>
        <a:prstGeom prst="rect">
          <a:avLst/>
        </a:prstGeom>
        <a:noFill/>
        <a:ln>
          <a:prstDash val="sysDot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242793</xdr:colOff>
      <xdr:row>123</xdr:row>
      <xdr:rowOff>130735</xdr:rowOff>
    </xdr:from>
    <xdr:to>
      <xdr:col>19</xdr:col>
      <xdr:colOff>130735</xdr:colOff>
      <xdr:row>128</xdr:row>
      <xdr:rowOff>37353</xdr:rowOff>
    </xdr:to>
    <xdr:sp macro="" textlink="">
      <xdr:nvSpPr>
        <xdr:cNvPr id="293" name="Rectangle 292">
          <a:extLst>
            <a:ext uri="{FF2B5EF4-FFF2-40B4-BE49-F238E27FC236}">
              <a16:creationId xmlns:a16="http://schemas.microsoft.com/office/drawing/2014/main" id="{83EFE460-5460-944F-B634-988957EF487B}"/>
            </a:ext>
          </a:extLst>
        </xdr:cNvPr>
        <xdr:cNvSpPr/>
      </xdr:nvSpPr>
      <xdr:spPr>
        <a:xfrm>
          <a:off x="7339852" y="27921323"/>
          <a:ext cx="1755589" cy="1400736"/>
        </a:xfrm>
        <a:prstGeom prst="rect">
          <a:avLst/>
        </a:prstGeom>
        <a:noFill/>
        <a:ln>
          <a:prstDash val="sysDot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37354</xdr:colOff>
      <xdr:row>128</xdr:row>
      <xdr:rowOff>37353</xdr:rowOff>
    </xdr:from>
    <xdr:to>
      <xdr:col>17</xdr:col>
      <xdr:colOff>1</xdr:colOff>
      <xdr:row>129</xdr:row>
      <xdr:rowOff>56029</xdr:rowOff>
    </xdr:to>
    <xdr:cxnSp macro="">
      <xdr:nvCxnSpPr>
        <xdr:cNvPr id="294" name="Curved Connector 293">
          <a:extLst>
            <a:ext uri="{FF2B5EF4-FFF2-40B4-BE49-F238E27FC236}">
              <a16:creationId xmlns:a16="http://schemas.microsoft.com/office/drawing/2014/main" id="{5193F6B2-FD89-8B45-812E-5FCB38954E42}"/>
            </a:ext>
          </a:extLst>
        </xdr:cNvPr>
        <xdr:cNvCxnSpPr>
          <a:stCxn id="293" idx="2"/>
          <a:endCxn id="292" idx="0"/>
        </xdr:cNvCxnSpPr>
      </xdr:nvCxnSpPr>
      <xdr:spPr>
        <a:xfrm rot="5400000">
          <a:off x="6956987" y="28378897"/>
          <a:ext cx="317499" cy="2203823"/>
        </a:xfrm>
        <a:prstGeom prst="curved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63062</xdr:colOff>
      <xdr:row>42</xdr:row>
      <xdr:rowOff>19772</xdr:rowOff>
    </xdr:from>
    <xdr:to>
      <xdr:col>2</xdr:col>
      <xdr:colOff>304795</xdr:colOff>
      <xdr:row>42</xdr:row>
      <xdr:rowOff>291591</xdr:rowOff>
    </xdr:to>
    <xdr:sp macro="" textlink="">
      <xdr:nvSpPr>
        <xdr:cNvPr id="302" name="Oval 301">
          <a:extLst>
            <a:ext uri="{FF2B5EF4-FFF2-40B4-BE49-F238E27FC236}">
              <a16:creationId xmlns:a16="http://schemas.microsoft.com/office/drawing/2014/main" id="{72BDD075-DDB8-EF48-BD61-89F3C0052186}"/>
            </a:ext>
          </a:extLst>
        </xdr:cNvPr>
        <xdr:cNvSpPr/>
      </xdr:nvSpPr>
      <xdr:spPr>
        <a:xfrm>
          <a:off x="793747" y="26950731"/>
          <a:ext cx="241733" cy="271819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63062</xdr:colOff>
      <xdr:row>42</xdr:row>
      <xdr:rowOff>19772</xdr:rowOff>
    </xdr:from>
    <xdr:to>
      <xdr:col>3</xdr:col>
      <xdr:colOff>304795</xdr:colOff>
      <xdr:row>42</xdr:row>
      <xdr:rowOff>291591</xdr:rowOff>
    </xdr:to>
    <xdr:sp macro="" textlink="">
      <xdr:nvSpPr>
        <xdr:cNvPr id="303" name="Oval 302">
          <a:extLst>
            <a:ext uri="{FF2B5EF4-FFF2-40B4-BE49-F238E27FC236}">
              <a16:creationId xmlns:a16="http://schemas.microsoft.com/office/drawing/2014/main" id="{604FFE9C-D35B-E142-B7CE-3575CBCA708B}"/>
            </a:ext>
          </a:extLst>
        </xdr:cNvPr>
        <xdr:cNvSpPr/>
      </xdr:nvSpPr>
      <xdr:spPr>
        <a:xfrm>
          <a:off x="1159089" y="26950731"/>
          <a:ext cx="241733" cy="271819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63062</xdr:colOff>
      <xdr:row>42</xdr:row>
      <xdr:rowOff>19772</xdr:rowOff>
    </xdr:from>
    <xdr:to>
      <xdr:col>4</xdr:col>
      <xdr:colOff>304795</xdr:colOff>
      <xdr:row>42</xdr:row>
      <xdr:rowOff>291591</xdr:rowOff>
    </xdr:to>
    <xdr:sp macro="" textlink="">
      <xdr:nvSpPr>
        <xdr:cNvPr id="304" name="Oval 303">
          <a:extLst>
            <a:ext uri="{FF2B5EF4-FFF2-40B4-BE49-F238E27FC236}">
              <a16:creationId xmlns:a16="http://schemas.microsoft.com/office/drawing/2014/main" id="{F32BD50E-E1E4-504F-BF65-BAD1DC0F8661}"/>
            </a:ext>
          </a:extLst>
        </xdr:cNvPr>
        <xdr:cNvSpPr/>
      </xdr:nvSpPr>
      <xdr:spPr>
        <a:xfrm>
          <a:off x="1524432" y="26950731"/>
          <a:ext cx="241733" cy="271819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78004</xdr:colOff>
      <xdr:row>54</xdr:row>
      <xdr:rowOff>19317</xdr:rowOff>
    </xdr:from>
    <xdr:to>
      <xdr:col>2</xdr:col>
      <xdr:colOff>319737</xdr:colOff>
      <xdr:row>54</xdr:row>
      <xdr:rowOff>291136</xdr:rowOff>
    </xdr:to>
    <xdr:sp macro="" textlink="">
      <xdr:nvSpPr>
        <xdr:cNvPr id="305" name="Oval 304">
          <a:extLst>
            <a:ext uri="{FF2B5EF4-FFF2-40B4-BE49-F238E27FC236}">
              <a16:creationId xmlns:a16="http://schemas.microsoft.com/office/drawing/2014/main" id="{C233026F-45D6-9746-B376-8C3728944D45}"/>
            </a:ext>
          </a:extLst>
        </xdr:cNvPr>
        <xdr:cNvSpPr/>
      </xdr:nvSpPr>
      <xdr:spPr>
        <a:xfrm>
          <a:off x="808689" y="30708084"/>
          <a:ext cx="241733" cy="271819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78004</xdr:colOff>
      <xdr:row>54</xdr:row>
      <xdr:rowOff>19317</xdr:rowOff>
    </xdr:from>
    <xdr:to>
      <xdr:col>3</xdr:col>
      <xdr:colOff>319737</xdr:colOff>
      <xdr:row>54</xdr:row>
      <xdr:rowOff>291136</xdr:rowOff>
    </xdr:to>
    <xdr:sp macro="" textlink="">
      <xdr:nvSpPr>
        <xdr:cNvPr id="306" name="Oval 305">
          <a:extLst>
            <a:ext uri="{FF2B5EF4-FFF2-40B4-BE49-F238E27FC236}">
              <a16:creationId xmlns:a16="http://schemas.microsoft.com/office/drawing/2014/main" id="{952DC8C6-1F02-224B-A9B3-F75C17C12060}"/>
            </a:ext>
          </a:extLst>
        </xdr:cNvPr>
        <xdr:cNvSpPr/>
      </xdr:nvSpPr>
      <xdr:spPr>
        <a:xfrm>
          <a:off x="1174031" y="30708084"/>
          <a:ext cx="241733" cy="271819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78004</xdr:colOff>
      <xdr:row>54</xdr:row>
      <xdr:rowOff>19317</xdr:rowOff>
    </xdr:from>
    <xdr:to>
      <xdr:col>4</xdr:col>
      <xdr:colOff>319737</xdr:colOff>
      <xdr:row>54</xdr:row>
      <xdr:rowOff>291136</xdr:rowOff>
    </xdr:to>
    <xdr:sp macro="" textlink="">
      <xdr:nvSpPr>
        <xdr:cNvPr id="307" name="Oval 306">
          <a:extLst>
            <a:ext uri="{FF2B5EF4-FFF2-40B4-BE49-F238E27FC236}">
              <a16:creationId xmlns:a16="http://schemas.microsoft.com/office/drawing/2014/main" id="{01C7EC89-4B60-6748-84F4-023BC0333D5E}"/>
            </a:ext>
          </a:extLst>
        </xdr:cNvPr>
        <xdr:cNvSpPr/>
      </xdr:nvSpPr>
      <xdr:spPr>
        <a:xfrm>
          <a:off x="1539374" y="30708084"/>
          <a:ext cx="241733" cy="271819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78004</xdr:colOff>
      <xdr:row>54</xdr:row>
      <xdr:rowOff>19317</xdr:rowOff>
    </xdr:from>
    <xdr:to>
      <xdr:col>5</xdr:col>
      <xdr:colOff>319737</xdr:colOff>
      <xdr:row>54</xdr:row>
      <xdr:rowOff>291136</xdr:rowOff>
    </xdr:to>
    <xdr:sp macro="" textlink="">
      <xdr:nvSpPr>
        <xdr:cNvPr id="308" name="Oval 307">
          <a:extLst>
            <a:ext uri="{FF2B5EF4-FFF2-40B4-BE49-F238E27FC236}">
              <a16:creationId xmlns:a16="http://schemas.microsoft.com/office/drawing/2014/main" id="{302C7153-60CB-1747-9B11-B601FB665AF2}"/>
            </a:ext>
          </a:extLst>
        </xdr:cNvPr>
        <xdr:cNvSpPr/>
      </xdr:nvSpPr>
      <xdr:spPr>
        <a:xfrm>
          <a:off x="1904716" y="30708084"/>
          <a:ext cx="241733" cy="271819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183929</xdr:colOff>
      <xdr:row>42</xdr:row>
      <xdr:rowOff>291591</xdr:rowOff>
    </xdr:from>
    <xdr:to>
      <xdr:col>2</xdr:col>
      <xdr:colOff>198871</xdr:colOff>
      <xdr:row>54</xdr:row>
      <xdr:rowOff>19317</xdr:rowOff>
    </xdr:to>
    <xdr:cxnSp macro="">
      <xdr:nvCxnSpPr>
        <xdr:cNvPr id="309" name="Straight Connector 308">
          <a:extLst>
            <a:ext uri="{FF2B5EF4-FFF2-40B4-BE49-F238E27FC236}">
              <a16:creationId xmlns:a16="http://schemas.microsoft.com/office/drawing/2014/main" id="{7F035D94-A045-E346-BE64-2341F02172C0}"/>
            </a:ext>
          </a:extLst>
        </xdr:cNvPr>
        <xdr:cNvCxnSpPr>
          <a:stCxn id="302" idx="4"/>
          <a:endCxn id="305" idx="0"/>
        </xdr:cNvCxnSpPr>
      </xdr:nvCxnSpPr>
      <xdr:spPr>
        <a:xfrm>
          <a:off x="914614" y="27222550"/>
          <a:ext cx="14942" cy="3485534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183929</xdr:colOff>
      <xdr:row>42</xdr:row>
      <xdr:rowOff>291591</xdr:rowOff>
    </xdr:from>
    <xdr:to>
      <xdr:col>3</xdr:col>
      <xdr:colOff>198871</xdr:colOff>
      <xdr:row>54</xdr:row>
      <xdr:rowOff>19317</xdr:rowOff>
    </xdr:to>
    <xdr:cxnSp macro="">
      <xdr:nvCxnSpPr>
        <xdr:cNvPr id="310" name="Straight Connector 309">
          <a:extLst>
            <a:ext uri="{FF2B5EF4-FFF2-40B4-BE49-F238E27FC236}">
              <a16:creationId xmlns:a16="http://schemas.microsoft.com/office/drawing/2014/main" id="{D3390499-20BC-644E-B0AA-DDA948849194}"/>
            </a:ext>
          </a:extLst>
        </xdr:cNvPr>
        <xdr:cNvCxnSpPr>
          <a:stCxn id="303" idx="4"/>
          <a:endCxn id="306" idx="0"/>
        </xdr:cNvCxnSpPr>
      </xdr:nvCxnSpPr>
      <xdr:spPr>
        <a:xfrm>
          <a:off x="1279956" y="27222550"/>
          <a:ext cx="14942" cy="3485534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183929</xdr:colOff>
      <xdr:row>42</xdr:row>
      <xdr:rowOff>291591</xdr:rowOff>
    </xdr:from>
    <xdr:to>
      <xdr:col>4</xdr:col>
      <xdr:colOff>198871</xdr:colOff>
      <xdr:row>54</xdr:row>
      <xdr:rowOff>19317</xdr:rowOff>
    </xdr:to>
    <xdr:cxnSp macro="">
      <xdr:nvCxnSpPr>
        <xdr:cNvPr id="311" name="Straight Connector 310">
          <a:extLst>
            <a:ext uri="{FF2B5EF4-FFF2-40B4-BE49-F238E27FC236}">
              <a16:creationId xmlns:a16="http://schemas.microsoft.com/office/drawing/2014/main" id="{0CCC2F71-624E-9048-98A4-9645CCFF061A}"/>
            </a:ext>
          </a:extLst>
        </xdr:cNvPr>
        <xdr:cNvCxnSpPr>
          <a:stCxn id="304" idx="4"/>
          <a:endCxn id="307" idx="0"/>
        </xdr:cNvCxnSpPr>
      </xdr:nvCxnSpPr>
      <xdr:spPr>
        <a:xfrm>
          <a:off x="1649969" y="13179108"/>
          <a:ext cx="14942" cy="3409873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183929</xdr:colOff>
      <xdr:row>42</xdr:row>
      <xdr:rowOff>291591</xdr:rowOff>
    </xdr:from>
    <xdr:to>
      <xdr:col>5</xdr:col>
      <xdr:colOff>198871</xdr:colOff>
      <xdr:row>54</xdr:row>
      <xdr:rowOff>19317</xdr:rowOff>
    </xdr:to>
    <xdr:cxnSp macro="">
      <xdr:nvCxnSpPr>
        <xdr:cNvPr id="312" name="Straight Connector 311">
          <a:extLst>
            <a:ext uri="{FF2B5EF4-FFF2-40B4-BE49-F238E27FC236}">
              <a16:creationId xmlns:a16="http://schemas.microsoft.com/office/drawing/2014/main" id="{CA173CB6-FBA0-A641-A516-781E55D3656B}"/>
            </a:ext>
          </a:extLst>
        </xdr:cNvPr>
        <xdr:cNvCxnSpPr>
          <a:stCxn id="304" idx="4"/>
          <a:endCxn id="308" idx="0"/>
        </xdr:cNvCxnSpPr>
      </xdr:nvCxnSpPr>
      <xdr:spPr>
        <a:xfrm>
          <a:off x="1645299" y="27222550"/>
          <a:ext cx="380284" cy="3485534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198871</xdr:colOff>
      <xdr:row>42</xdr:row>
      <xdr:rowOff>291591</xdr:rowOff>
    </xdr:from>
    <xdr:to>
      <xdr:col>4</xdr:col>
      <xdr:colOff>183929</xdr:colOff>
      <xdr:row>54</xdr:row>
      <xdr:rowOff>19317</xdr:rowOff>
    </xdr:to>
    <xdr:cxnSp macro="">
      <xdr:nvCxnSpPr>
        <xdr:cNvPr id="313" name="Straight Connector 312">
          <a:extLst>
            <a:ext uri="{FF2B5EF4-FFF2-40B4-BE49-F238E27FC236}">
              <a16:creationId xmlns:a16="http://schemas.microsoft.com/office/drawing/2014/main" id="{AA3A4C50-7525-4C44-A003-87CA667ED5DA}"/>
            </a:ext>
          </a:extLst>
        </xdr:cNvPr>
        <xdr:cNvCxnSpPr>
          <a:stCxn id="304" idx="4"/>
          <a:endCxn id="306" idx="0"/>
        </xdr:cNvCxnSpPr>
      </xdr:nvCxnSpPr>
      <xdr:spPr>
        <a:xfrm flipH="1">
          <a:off x="1294898" y="27222550"/>
          <a:ext cx="350401" cy="3485534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198871</xdr:colOff>
      <xdr:row>42</xdr:row>
      <xdr:rowOff>291591</xdr:rowOff>
    </xdr:from>
    <xdr:to>
      <xdr:col>4</xdr:col>
      <xdr:colOff>183929</xdr:colOff>
      <xdr:row>54</xdr:row>
      <xdr:rowOff>19317</xdr:rowOff>
    </xdr:to>
    <xdr:cxnSp macro="">
      <xdr:nvCxnSpPr>
        <xdr:cNvPr id="314" name="Straight Connector 313">
          <a:extLst>
            <a:ext uri="{FF2B5EF4-FFF2-40B4-BE49-F238E27FC236}">
              <a16:creationId xmlns:a16="http://schemas.microsoft.com/office/drawing/2014/main" id="{62DE9AD5-C709-6940-AB90-4DAB544FC79B}"/>
            </a:ext>
          </a:extLst>
        </xdr:cNvPr>
        <xdr:cNvCxnSpPr>
          <a:stCxn id="304" idx="4"/>
          <a:endCxn id="305" idx="0"/>
        </xdr:cNvCxnSpPr>
      </xdr:nvCxnSpPr>
      <xdr:spPr>
        <a:xfrm flipH="1">
          <a:off x="929556" y="13443920"/>
          <a:ext cx="715743" cy="3485534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198871</xdr:colOff>
      <xdr:row>42</xdr:row>
      <xdr:rowOff>291591</xdr:rowOff>
    </xdr:from>
    <xdr:to>
      <xdr:col>3</xdr:col>
      <xdr:colOff>183929</xdr:colOff>
      <xdr:row>54</xdr:row>
      <xdr:rowOff>19317</xdr:rowOff>
    </xdr:to>
    <xdr:cxnSp macro="">
      <xdr:nvCxnSpPr>
        <xdr:cNvPr id="315" name="Straight Connector 314">
          <a:extLst>
            <a:ext uri="{FF2B5EF4-FFF2-40B4-BE49-F238E27FC236}">
              <a16:creationId xmlns:a16="http://schemas.microsoft.com/office/drawing/2014/main" id="{27720888-BA35-6E4B-8A82-59F2AA7B57DE}"/>
            </a:ext>
          </a:extLst>
        </xdr:cNvPr>
        <xdr:cNvCxnSpPr>
          <a:stCxn id="303" idx="4"/>
          <a:endCxn id="305" idx="0"/>
        </xdr:cNvCxnSpPr>
      </xdr:nvCxnSpPr>
      <xdr:spPr>
        <a:xfrm flipH="1">
          <a:off x="929556" y="27222550"/>
          <a:ext cx="350400" cy="3485534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183929</xdr:colOff>
      <xdr:row>42</xdr:row>
      <xdr:rowOff>291591</xdr:rowOff>
    </xdr:from>
    <xdr:to>
      <xdr:col>3</xdr:col>
      <xdr:colOff>198871</xdr:colOff>
      <xdr:row>54</xdr:row>
      <xdr:rowOff>19317</xdr:rowOff>
    </xdr:to>
    <xdr:cxnSp macro="">
      <xdr:nvCxnSpPr>
        <xdr:cNvPr id="316" name="Straight Connector 315">
          <a:extLst>
            <a:ext uri="{FF2B5EF4-FFF2-40B4-BE49-F238E27FC236}">
              <a16:creationId xmlns:a16="http://schemas.microsoft.com/office/drawing/2014/main" id="{64E21446-6232-9E4A-8139-5D973DC442DD}"/>
            </a:ext>
          </a:extLst>
        </xdr:cNvPr>
        <xdr:cNvCxnSpPr>
          <a:stCxn id="302" idx="4"/>
          <a:endCxn id="306" idx="0"/>
        </xdr:cNvCxnSpPr>
      </xdr:nvCxnSpPr>
      <xdr:spPr>
        <a:xfrm>
          <a:off x="914614" y="27222550"/>
          <a:ext cx="380284" cy="3485534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183929</xdr:colOff>
      <xdr:row>42</xdr:row>
      <xdr:rowOff>291591</xdr:rowOff>
    </xdr:from>
    <xdr:to>
      <xdr:col>4</xdr:col>
      <xdr:colOff>198871</xdr:colOff>
      <xdr:row>54</xdr:row>
      <xdr:rowOff>19317</xdr:rowOff>
    </xdr:to>
    <xdr:cxnSp macro="">
      <xdr:nvCxnSpPr>
        <xdr:cNvPr id="317" name="Straight Connector 316">
          <a:extLst>
            <a:ext uri="{FF2B5EF4-FFF2-40B4-BE49-F238E27FC236}">
              <a16:creationId xmlns:a16="http://schemas.microsoft.com/office/drawing/2014/main" id="{82135561-7043-9B49-85BE-928A19033E84}"/>
            </a:ext>
          </a:extLst>
        </xdr:cNvPr>
        <xdr:cNvCxnSpPr>
          <a:stCxn id="302" idx="4"/>
          <a:endCxn id="307" idx="0"/>
        </xdr:cNvCxnSpPr>
      </xdr:nvCxnSpPr>
      <xdr:spPr>
        <a:xfrm>
          <a:off x="914614" y="27222550"/>
          <a:ext cx="745627" cy="3485534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183929</xdr:colOff>
      <xdr:row>42</xdr:row>
      <xdr:rowOff>291591</xdr:rowOff>
    </xdr:from>
    <xdr:to>
      <xdr:col>5</xdr:col>
      <xdr:colOff>198871</xdr:colOff>
      <xdr:row>54</xdr:row>
      <xdr:rowOff>19317</xdr:rowOff>
    </xdr:to>
    <xdr:cxnSp macro="">
      <xdr:nvCxnSpPr>
        <xdr:cNvPr id="318" name="Straight Connector 317">
          <a:extLst>
            <a:ext uri="{FF2B5EF4-FFF2-40B4-BE49-F238E27FC236}">
              <a16:creationId xmlns:a16="http://schemas.microsoft.com/office/drawing/2014/main" id="{22291EEB-4A43-C44C-927C-C87A47BDF2EF}"/>
            </a:ext>
          </a:extLst>
        </xdr:cNvPr>
        <xdr:cNvCxnSpPr>
          <a:stCxn id="302" idx="4"/>
          <a:endCxn id="308" idx="0"/>
        </xdr:cNvCxnSpPr>
      </xdr:nvCxnSpPr>
      <xdr:spPr>
        <a:xfrm>
          <a:off x="914614" y="27222550"/>
          <a:ext cx="1110969" cy="3485534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183929</xdr:colOff>
      <xdr:row>42</xdr:row>
      <xdr:rowOff>291591</xdr:rowOff>
    </xdr:from>
    <xdr:to>
      <xdr:col>5</xdr:col>
      <xdr:colOff>198871</xdr:colOff>
      <xdr:row>54</xdr:row>
      <xdr:rowOff>19317</xdr:rowOff>
    </xdr:to>
    <xdr:cxnSp macro="">
      <xdr:nvCxnSpPr>
        <xdr:cNvPr id="319" name="Straight Connector 318">
          <a:extLst>
            <a:ext uri="{FF2B5EF4-FFF2-40B4-BE49-F238E27FC236}">
              <a16:creationId xmlns:a16="http://schemas.microsoft.com/office/drawing/2014/main" id="{F34F0DC7-72DE-D248-B9D1-D237739B4A26}"/>
            </a:ext>
          </a:extLst>
        </xdr:cNvPr>
        <xdr:cNvCxnSpPr>
          <a:stCxn id="303" idx="4"/>
          <a:endCxn id="308" idx="0"/>
        </xdr:cNvCxnSpPr>
      </xdr:nvCxnSpPr>
      <xdr:spPr>
        <a:xfrm>
          <a:off x="1279956" y="27222550"/>
          <a:ext cx="745627" cy="3485534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183929</xdr:colOff>
      <xdr:row>42</xdr:row>
      <xdr:rowOff>291591</xdr:rowOff>
    </xdr:from>
    <xdr:to>
      <xdr:col>4</xdr:col>
      <xdr:colOff>198871</xdr:colOff>
      <xdr:row>54</xdr:row>
      <xdr:rowOff>19317</xdr:rowOff>
    </xdr:to>
    <xdr:cxnSp macro="">
      <xdr:nvCxnSpPr>
        <xdr:cNvPr id="320" name="Straight Connector 319">
          <a:extLst>
            <a:ext uri="{FF2B5EF4-FFF2-40B4-BE49-F238E27FC236}">
              <a16:creationId xmlns:a16="http://schemas.microsoft.com/office/drawing/2014/main" id="{F7516904-37BD-8C49-8B2F-2576FE75D521}"/>
            </a:ext>
          </a:extLst>
        </xdr:cNvPr>
        <xdr:cNvCxnSpPr>
          <a:stCxn id="303" idx="4"/>
          <a:endCxn id="307" idx="0"/>
        </xdr:cNvCxnSpPr>
      </xdr:nvCxnSpPr>
      <xdr:spPr>
        <a:xfrm>
          <a:off x="1279956" y="27222550"/>
          <a:ext cx="380285" cy="3485534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78004</xdr:colOff>
      <xdr:row>63</xdr:row>
      <xdr:rowOff>19336</xdr:rowOff>
    </xdr:from>
    <xdr:to>
      <xdr:col>2</xdr:col>
      <xdr:colOff>319737</xdr:colOff>
      <xdr:row>63</xdr:row>
      <xdr:rowOff>291155</xdr:rowOff>
    </xdr:to>
    <xdr:sp macro="" textlink="">
      <xdr:nvSpPr>
        <xdr:cNvPr id="321" name="Oval 320">
          <a:extLst>
            <a:ext uri="{FF2B5EF4-FFF2-40B4-BE49-F238E27FC236}">
              <a16:creationId xmlns:a16="http://schemas.microsoft.com/office/drawing/2014/main" id="{9D164D7A-DEF9-0C41-9929-4B6DC716FEE6}"/>
            </a:ext>
          </a:extLst>
        </xdr:cNvPr>
        <xdr:cNvSpPr/>
      </xdr:nvSpPr>
      <xdr:spPr>
        <a:xfrm>
          <a:off x="808689" y="33526459"/>
          <a:ext cx="241733" cy="271819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78004</xdr:colOff>
      <xdr:row>63</xdr:row>
      <xdr:rowOff>19336</xdr:rowOff>
    </xdr:from>
    <xdr:to>
      <xdr:col>3</xdr:col>
      <xdr:colOff>319737</xdr:colOff>
      <xdr:row>63</xdr:row>
      <xdr:rowOff>291155</xdr:rowOff>
    </xdr:to>
    <xdr:sp macro="" textlink="">
      <xdr:nvSpPr>
        <xdr:cNvPr id="322" name="Oval 321">
          <a:extLst>
            <a:ext uri="{FF2B5EF4-FFF2-40B4-BE49-F238E27FC236}">
              <a16:creationId xmlns:a16="http://schemas.microsoft.com/office/drawing/2014/main" id="{84D51D4B-93DF-DA4D-820B-A2B13DCF48B2}"/>
            </a:ext>
          </a:extLst>
        </xdr:cNvPr>
        <xdr:cNvSpPr/>
      </xdr:nvSpPr>
      <xdr:spPr>
        <a:xfrm>
          <a:off x="1174031" y="33526459"/>
          <a:ext cx="241733" cy="271819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198871</xdr:colOff>
      <xdr:row>54</xdr:row>
      <xdr:rowOff>291136</xdr:rowOff>
    </xdr:from>
    <xdr:to>
      <xdr:col>2</xdr:col>
      <xdr:colOff>198871</xdr:colOff>
      <xdr:row>63</xdr:row>
      <xdr:rowOff>19336</xdr:rowOff>
    </xdr:to>
    <xdr:cxnSp macro="">
      <xdr:nvCxnSpPr>
        <xdr:cNvPr id="323" name="Straight Connector 322">
          <a:extLst>
            <a:ext uri="{FF2B5EF4-FFF2-40B4-BE49-F238E27FC236}">
              <a16:creationId xmlns:a16="http://schemas.microsoft.com/office/drawing/2014/main" id="{76CCD93D-958F-A041-AACA-6D4196FEE752}"/>
            </a:ext>
          </a:extLst>
        </xdr:cNvPr>
        <xdr:cNvCxnSpPr>
          <a:stCxn id="305" idx="4"/>
          <a:endCxn id="321" idx="0"/>
        </xdr:cNvCxnSpPr>
      </xdr:nvCxnSpPr>
      <xdr:spPr>
        <a:xfrm>
          <a:off x="929556" y="30979903"/>
          <a:ext cx="0" cy="2546556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198871</xdr:colOff>
      <xdr:row>54</xdr:row>
      <xdr:rowOff>291136</xdr:rowOff>
    </xdr:from>
    <xdr:to>
      <xdr:col>3</xdr:col>
      <xdr:colOff>198871</xdr:colOff>
      <xdr:row>63</xdr:row>
      <xdr:rowOff>19336</xdr:rowOff>
    </xdr:to>
    <xdr:cxnSp macro="">
      <xdr:nvCxnSpPr>
        <xdr:cNvPr id="324" name="Straight Connector 323">
          <a:extLst>
            <a:ext uri="{FF2B5EF4-FFF2-40B4-BE49-F238E27FC236}">
              <a16:creationId xmlns:a16="http://schemas.microsoft.com/office/drawing/2014/main" id="{201102B7-1919-7D48-81BB-B8D8259E32C8}"/>
            </a:ext>
          </a:extLst>
        </xdr:cNvPr>
        <xdr:cNvCxnSpPr>
          <a:stCxn id="306" idx="4"/>
          <a:endCxn id="321" idx="0"/>
        </xdr:cNvCxnSpPr>
      </xdr:nvCxnSpPr>
      <xdr:spPr>
        <a:xfrm flipH="1">
          <a:off x="929556" y="30979903"/>
          <a:ext cx="365342" cy="2546556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198871</xdr:colOff>
      <xdr:row>54</xdr:row>
      <xdr:rowOff>291136</xdr:rowOff>
    </xdr:from>
    <xdr:to>
      <xdr:col>4</xdr:col>
      <xdr:colOff>198871</xdr:colOff>
      <xdr:row>63</xdr:row>
      <xdr:rowOff>19336</xdr:rowOff>
    </xdr:to>
    <xdr:cxnSp macro="">
      <xdr:nvCxnSpPr>
        <xdr:cNvPr id="325" name="Straight Connector 324">
          <a:extLst>
            <a:ext uri="{FF2B5EF4-FFF2-40B4-BE49-F238E27FC236}">
              <a16:creationId xmlns:a16="http://schemas.microsoft.com/office/drawing/2014/main" id="{2E4C4E33-B26A-E643-AA6B-B6FF7F5B5BC2}"/>
            </a:ext>
          </a:extLst>
        </xdr:cNvPr>
        <xdr:cNvCxnSpPr>
          <a:stCxn id="307" idx="4"/>
          <a:endCxn id="321" idx="0"/>
        </xdr:cNvCxnSpPr>
      </xdr:nvCxnSpPr>
      <xdr:spPr>
        <a:xfrm flipH="1">
          <a:off x="929556" y="30979903"/>
          <a:ext cx="730685" cy="2546556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198871</xdr:colOff>
      <xdr:row>54</xdr:row>
      <xdr:rowOff>291136</xdr:rowOff>
    </xdr:from>
    <xdr:to>
      <xdr:col>5</xdr:col>
      <xdr:colOff>198871</xdr:colOff>
      <xdr:row>63</xdr:row>
      <xdr:rowOff>19336</xdr:rowOff>
    </xdr:to>
    <xdr:cxnSp macro="">
      <xdr:nvCxnSpPr>
        <xdr:cNvPr id="326" name="Straight Connector 325">
          <a:extLst>
            <a:ext uri="{FF2B5EF4-FFF2-40B4-BE49-F238E27FC236}">
              <a16:creationId xmlns:a16="http://schemas.microsoft.com/office/drawing/2014/main" id="{9EF8FB4F-BBC6-754A-B853-AB0FC41D4CFE}"/>
            </a:ext>
          </a:extLst>
        </xdr:cNvPr>
        <xdr:cNvCxnSpPr>
          <a:stCxn id="308" idx="4"/>
          <a:endCxn id="321" idx="0"/>
        </xdr:cNvCxnSpPr>
      </xdr:nvCxnSpPr>
      <xdr:spPr>
        <a:xfrm flipH="1">
          <a:off x="929556" y="30979903"/>
          <a:ext cx="1096027" cy="2546556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198871</xdr:colOff>
      <xdr:row>54</xdr:row>
      <xdr:rowOff>291136</xdr:rowOff>
    </xdr:from>
    <xdr:to>
      <xdr:col>4</xdr:col>
      <xdr:colOff>198871</xdr:colOff>
      <xdr:row>63</xdr:row>
      <xdr:rowOff>19336</xdr:rowOff>
    </xdr:to>
    <xdr:cxnSp macro="">
      <xdr:nvCxnSpPr>
        <xdr:cNvPr id="327" name="Straight Connector 326">
          <a:extLst>
            <a:ext uri="{FF2B5EF4-FFF2-40B4-BE49-F238E27FC236}">
              <a16:creationId xmlns:a16="http://schemas.microsoft.com/office/drawing/2014/main" id="{89D9A9D4-E2D7-D24E-8BCA-CFB1F2E3DF19}"/>
            </a:ext>
          </a:extLst>
        </xdr:cNvPr>
        <xdr:cNvCxnSpPr>
          <a:stCxn id="307" idx="4"/>
          <a:endCxn id="322" idx="0"/>
        </xdr:cNvCxnSpPr>
      </xdr:nvCxnSpPr>
      <xdr:spPr>
        <a:xfrm flipH="1">
          <a:off x="1294898" y="30979903"/>
          <a:ext cx="365343" cy="2546556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198871</xdr:colOff>
      <xdr:row>54</xdr:row>
      <xdr:rowOff>291136</xdr:rowOff>
    </xdr:from>
    <xdr:to>
      <xdr:col>3</xdr:col>
      <xdr:colOff>198871</xdr:colOff>
      <xdr:row>63</xdr:row>
      <xdr:rowOff>19336</xdr:rowOff>
    </xdr:to>
    <xdr:cxnSp macro="">
      <xdr:nvCxnSpPr>
        <xdr:cNvPr id="328" name="Straight Connector 327">
          <a:extLst>
            <a:ext uri="{FF2B5EF4-FFF2-40B4-BE49-F238E27FC236}">
              <a16:creationId xmlns:a16="http://schemas.microsoft.com/office/drawing/2014/main" id="{7B990A1B-E78D-EB47-AE80-82DE376B9707}"/>
            </a:ext>
          </a:extLst>
        </xdr:cNvPr>
        <xdr:cNvCxnSpPr>
          <a:stCxn id="306" idx="4"/>
          <a:endCxn id="322" idx="0"/>
        </xdr:cNvCxnSpPr>
      </xdr:nvCxnSpPr>
      <xdr:spPr>
        <a:xfrm>
          <a:off x="1294898" y="30979903"/>
          <a:ext cx="0" cy="2546556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198871</xdr:colOff>
      <xdr:row>54</xdr:row>
      <xdr:rowOff>291136</xdr:rowOff>
    </xdr:from>
    <xdr:to>
      <xdr:col>3</xdr:col>
      <xdr:colOff>198871</xdr:colOff>
      <xdr:row>63</xdr:row>
      <xdr:rowOff>19336</xdr:rowOff>
    </xdr:to>
    <xdr:cxnSp macro="">
      <xdr:nvCxnSpPr>
        <xdr:cNvPr id="329" name="Straight Connector 328">
          <a:extLst>
            <a:ext uri="{FF2B5EF4-FFF2-40B4-BE49-F238E27FC236}">
              <a16:creationId xmlns:a16="http://schemas.microsoft.com/office/drawing/2014/main" id="{BBB4F15C-142A-2549-99EA-64D04DE96E70}"/>
            </a:ext>
          </a:extLst>
        </xdr:cNvPr>
        <xdr:cNvCxnSpPr>
          <a:stCxn id="305" idx="4"/>
          <a:endCxn id="322" idx="0"/>
        </xdr:cNvCxnSpPr>
      </xdr:nvCxnSpPr>
      <xdr:spPr>
        <a:xfrm>
          <a:off x="929556" y="30979903"/>
          <a:ext cx="365342" cy="2546556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198871</xdr:colOff>
      <xdr:row>54</xdr:row>
      <xdr:rowOff>291136</xdr:rowOff>
    </xdr:from>
    <xdr:to>
      <xdr:col>5</xdr:col>
      <xdr:colOff>198871</xdr:colOff>
      <xdr:row>63</xdr:row>
      <xdr:rowOff>19336</xdr:rowOff>
    </xdr:to>
    <xdr:cxnSp macro="">
      <xdr:nvCxnSpPr>
        <xdr:cNvPr id="330" name="Straight Connector 329">
          <a:extLst>
            <a:ext uri="{FF2B5EF4-FFF2-40B4-BE49-F238E27FC236}">
              <a16:creationId xmlns:a16="http://schemas.microsoft.com/office/drawing/2014/main" id="{6AC6311E-FDB9-7648-8549-9946686CC2C8}"/>
            </a:ext>
          </a:extLst>
        </xdr:cNvPr>
        <xdr:cNvCxnSpPr>
          <a:stCxn id="308" idx="4"/>
          <a:endCxn id="322" idx="0"/>
        </xdr:cNvCxnSpPr>
      </xdr:nvCxnSpPr>
      <xdr:spPr>
        <a:xfrm flipH="1">
          <a:off x="1294898" y="30979903"/>
          <a:ext cx="730685" cy="2546556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227107</xdr:colOff>
      <xdr:row>40</xdr:row>
      <xdr:rowOff>242793</xdr:rowOff>
    </xdr:from>
    <xdr:to>
      <xdr:col>25</xdr:col>
      <xdr:colOff>261472</xdr:colOff>
      <xdr:row>67</xdr:row>
      <xdr:rowOff>245088</xdr:rowOff>
    </xdr:to>
    <xdr:sp macro="" textlink="">
      <xdr:nvSpPr>
        <xdr:cNvPr id="351" name="Rectangle 350">
          <a:extLst>
            <a:ext uri="{FF2B5EF4-FFF2-40B4-BE49-F238E27FC236}">
              <a16:creationId xmlns:a16="http://schemas.microsoft.com/office/drawing/2014/main" id="{18D95EFD-4D57-9840-A842-0BEBB22ACD2B}"/>
            </a:ext>
          </a:extLst>
        </xdr:cNvPr>
        <xdr:cNvSpPr/>
      </xdr:nvSpPr>
      <xdr:spPr>
        <a:xfrm>
          <a:off x="2878511" y="12719986"/>
          <a:ext cx="6852259" cy="84244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3000">
              <a:solidFill>
                <a:schemeClr val="tx1"/>
              </a:solidFill>
            </a:rPr>
            <a:t>MLP</a:t>
          </a:r>
        </a:p>
      </xdr:txBody>
    </xdr:sp>
    <xdr:clientData/>
  </xdr:twoCellAnchor>
  <xdr:twoCellAnchor>
    <xdr:from>
      <xdr:col>15</xdr:col>
      <xdr:colOff>198871</xdr:colOff>
      <xdr:row>42</xdr:row>
      <xdr:rowOff>291136</xdr:rowOff>
    </xdr:from>
    <xdr:to>
      <xdr:col>15</xdr:col>
      <xdr:colOff>198871</xdr:colOff>
      <xdr:row>55</xdr:row>
      <xdr:rowOff>19317</xdr:rowOff>
    </xdr:to>
    <xdr:cxnSp macro="">
      <xdr:nvCxnSpPr>
        <xdr:cNvPr id="353" name="Straight Connector 352">
          <a:extLst>
            <a:ext uri="{FF2B5EF4-FFF2-40B4-BE49-F238E27FC236}">
              <a16:creationId xmlns:a16="http://schemas.microsoft.com/office/drawing/2014/main" id="{FE343DFD-0E1F-4D49-8704-C8863470C241}"/>
            </a:ext>
          </a:extLst>
        </xdr:cNvPr>
        <xdr:cNvCxnSpPr>
          <a:cxnSpLocks/>
        </xdr:cNvCxnSpPr>
      </xdr:nvCxnSpPr>
      <xdr:spPr>
        <a:xfrm>
          <a:off x="11159145" y="13756615"/>
          <a:ext cx="0" cy="3799140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198871</xdr:colOff>
      <xdr:row>55</xdr:row>
      <xdr:rowOff>291136</xdr:rowOff>
    </xdr:from>
    <xdr:to>
      <xdr:col>15</xdr:col>
      <xdr:colOff>198871</xdr:colOff>
      <xdr:row>64</xdr:row>
      <xdr:rowOff>19317</xdr:rowOff>
    </xdr:to>
    <xdr:cxnSp macro="">
      <xdr:nvCxnSpPr>
        <xdr:cNvPr id="354" name="Straight Connector 353">
          <a:extLst>
            <a:ext uri="{FF2B5EF4-FFF2-40B4-BE49-F238E27FC236}">
              <a16:creationId xmlns:a16="http://schemas.microsoft.com/office/drawing/2014/main" id="{10B5525C-58CB-1742-8271-C0F71C14D097}"/>
            </a:ext>
          </a:extLst>
        </xdr:cNvPr>
        <xdr:cNvCxnSpPr>
          <a:cxnSpLocks/>
        </xdr:cNvCxnSpPr>
      </xdr:nvCxnSpPr>
      <xdr:spPr>
        <a:xfrm>
          <a:off x="11159145" y="17827574"/>
          <a:ext cx="0" cy="2546538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112891</xdr:colOff>
      <xdr:row>55</xdr:row>
      <xdr:rowOff>42333</xdr:rowOff>
    </xdr:from>
    <xdr:to>
      <xdr:col>15</xdr:col>
      <xdr:colOff>239891</xdr:colOff>
      <xdr:row>55</xdr:row>
      <xdr:rowOff>282222</xdr:rowOff>
    </xdr:to>
    <xdr:sp macro="" textlink="">
      <xdr:nvSpPr>
        <xdr:cNvPr id="355" name="Rectangle 354">
          <a:extLst>
            <a:ext uri="{FF2B5EF4-FFF2-40B4-BE49-F238E27FC236}">
              <a16:creationId xmlns:a16="http://schemas.microsoft.com/office/drawing/2014/main" id="{FB09BAD7-A4E1-7E4A-8635-F8F51DC99172}"/>
            </a:ext>
          </a:extLst>
        </xdr:cNvPr>
        <xdr:cNvSpPr/>
      </xdr:nvSpPr>
      <xdr:spPr>
        <a:xfrm>
          <a:off x="11073165" y="17578771"/>
          <a:ext cx="127000" cy="23988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112891</xdr:colOff>
      <xdr:row>42</xdr:row>
      <xdr:rowOff>42333</xdr:rowOff>
    </xdr:from>
    <xdr:to>
      <xdr:col>15</xdr:col>
      <xdr:colOff>239891</xdr:colOff>
      <xdr:row>42</xdr:row>
      <xdr:rowOff>282222</xdr:rowOff>
    </xdr:to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8ECCFA4E-E281-9C42-9CBE-421F8B674DB8}"/>
            </a:ext>
          </a:extLst>
        </xdr:cNvPr>
        <xdr:cNvSpPr/>
      </xdr:nvSpPr>
      <xdr:spPr>
        <a:xfrm>
          <a:off x="11073165" y="13507812"/>
          <a:ext cx="127000" cy="239889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FF00"/>
            </a:solidFill>
          </a:endParaRPr>
        </a:p>
      </xdr:txBody>
    </xdr:sp>
    <xdr:clientData/>
  </xdr:twoCellAnchor>
  <xdr:twoCellAnchor>
    <xdr:from>
      <xdr:col>15</xdr:col>
      <xdr:colOff>112891</xdr:colOff>
      <xdr:row>64</xdr:row>
      <xdr:rowOff>42333</xdr:rowOff>
    </xdr:from>
    <xdr:to>
      <xdr:col>15</xdr:col>
      <xdr:colOff>239891</xdr:colOff>
      <xdr:row>64</xdr:row>
      <xdr:rowOff>282222</xdr:rowOff>
    </xdr:to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3024D5C1-5E11-E042-8C27-459E46DD54C9}"/>
            </a:ext>
          </a:extLst>
        </xdr:cNvPr>
        <xdr:cNvSpPr/>
      </xdr:nvSpPr>
      <xdr:spPr>
        <a:xfrm>
          <a:off x="11073165" y="20397128"/>
          <a:ext cx="127000" cy="239889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198871</xdr:colOff>
      <xdr:row>42</xdr:row>
      <xdr:rowOff>291136</xdr:rowOff>
    </xdr:from>
    <xdr:to>
      <xdr:col>18</xdr:col>
      <xdr:colOff>198871</xdr:colOff>
      <xdr:row>55</xdr:row>
      <xdr:rowOff>19317</xdr:rowOff>
    </xdr:to>
    <xdr:cxnSp macro="">
      <xdr:nvCxnSpPr>
        <xdr:cNvPr id="358" name="Straight Connector 357">
          <a:extLst>
            <a:ext uri="{FF2B5EF4-FFF2-40B4-BE49-F238E27FC236}">
              <a16:creationId xmlns:a16="http://schemas.microsoft.com/office/drawing/2014/main" id="{CD8FC681-5538-824F-81B0-8B1CCC870312}"/>
            </a:ext>
          </a:extLst>
        </xdr:cNvPr>
        <xdr:cNvCxnSpPr>
          <a:cxnSpLocks/>
        </xdr:cNvCxnSpPr>
      </xdr:nvCxnSpPr>
      <xdr:spPr>
        <a:xfrm>
          <a:off x="11159145" y="13756615"/>
          <a:ext cx="0" cy="3799140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198871</xdr:colOff>
      <xdr:row>55</xdr:row>
      <xdr:rowOff>291136</xdr:rowOff>
    </xdr:from>
    <xdr:to>
      <xdr:col>18</xdr:col>
      <xdr:colOff>198871</xdr:colOff>
      <xdr:row>64</xdr:row>
      <xdr:rowOff>19317</xdr:rowOff>
    </xdr:to>
    <xdr:cxnSp macro="">
      <xdr:nvCxnSpPr>
        <xdr:cNvPr id="359" name="Straight Connector 358">
          <a:extLst>
            <a:ext uri="{FF2B5EF4-FFF2-40B4-BE49-F238E27FC236}">
              <a16:creationId xmlns:a16="http://schemas.microsoft.com/office/drawing/2014/main" id="{80C4D5D9-9C27-EA4E-846E-4405DBE23094}"/>
            </a:ext>
          </a:extLst>
        </xdr:cNvPr>
        <xdr:cNvCxnSpPr>
          <a:cxnSpLocks/>
        </xdr:cNvCxnSpPr>
      </xdr:nvCxnSpPr>
      <xdr:spPr>
        <a:xfrm>
          <a:off x="11159145" y="17827574"/>
          <a:ext cx="0" cy="2546538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112891</xdr:colOff>
      <xdr:row>55</xdr:row>
      <xdr:rowOff>42333</xdr:rowOff>
    </xdr:from>
    <xdr:to>
      <xdr:col>18</xdr:col>
      <xdr:colOff>239891</xdr:colOff>
      <xdr:row>55</xdr:row>
      <xdr:rowOff>282222</xdr:rowOff>
    </xdr:to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8840161F-D400-1349-A871-715D207037A6}"/>
            </a:ext>
          </a:extLst>
        </xdr:cNvPr>
        <xdr:cNvSpPr/>
      </xdr:nvSpPr>
      <xdr:spPr>
        <a:xfrm>
          <a:off x="11073165" y="17578771"/>
          <a:ext cx="127000" cy="23988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112891</xdr:colOff>
      <xdr:row>42</xdr:row>
      <xdr:rowOff>42333</xdr:rowOff>
    </xdr:from>
    <xdr:to>
      <xdr:col>18</xdr:col>
      <xdr:colOff>239891</xdr:colOff>
      <xdr:row>42</xdr:row>
      <xdr:rowOff>282222</xdr:rowOff>
    </xdr:to>
    <xdr:sp macro="" textlink="">
      <xdr:nvSpPr>
        <xdr:cNvPr id="361" name="Rectangle 360">
          <a:extLst>
            <a:ext uri="{FF2B5EF4-FFF2-40B4-BE49-F238E27FC236}">
              <a16:creationId xmlns:a16="http://schemas.microsoft.com/office/drawing/2014/main" id="{270239A7-791F-EF40-9FC4-9EEFAFCB1FA2}"/>
            </a:ext>
          </a:extLst>
        </xdr:cNvPr>
        <xdr:cNvSpPr/>
      </xdr:nvSpPr>
      <xdr:spPr>
        <a:xfrm>
          <a:off x="11073165" y="13507812"/>
          <a:ext cx="127000" cy="239889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FF00"/>
            </a:solidFill>
          </a:endParaRPr>
        </a:p>
      </xdr:txBody>
    </xdr:sp>
    <xdr:clientData/>
  </xdr:twoCellAnchor>
  <xdr:twoCellAnchor>
    <xdr:from>
      <xdr:col>18</xdr:col>
      <xdr:colOff>112891</xdr:colOff>
      <xdr:row>64</xdr:row>
      <xdr:rowOff>42333</xdr:rowOff>
    </xdr:from>
    <xdr:to>
      <xdr:col>18</xdr:col>
      <xdr:colOff>239891</xdr:colOff>
      <xdr:row>64</xdr:row>
      <xdr:rowOff>282222</xdr:rowOff>
    </xdr:to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FC1FB6AC-55A3-0744-9C02-D770705D46A1}"/>
            </a:ext>
          </a:extLst>
        </xdr:cNvPr>
        <xdr:cNvSpPr/>
      </xdr:nvSpPr>
      <xdr:spPr>
        <a:xfrm>
          <a:off x="11073165" y="20397128"/>
          <a:ext cx="127000" cy="239889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198871</xdr:colOff>
      <xdr:row>42</xdr:row>
      <xdr:rowOff>291136</xdr:rowOff>
    </xdr:from>
    <xdr:to>
      <xdr:col>21</xdr:col>
      <xdr:colOff>198871</xdr:colOff>
      <xdr:row>55</xdr:row>
      <xdr:rowOff>19317</xdr:rowOff>
    </xdr:to>
    <xdr:cxnSp macro="">
      <xdr:nvCxnSpPr>
        <xdr:cNvPr id="363" name="Straight Connector 362">
          <a:extLst>
            <a:ext uri="{FF2B5EF4-FFF2-40B4-BE49-F238E27FC236}">
              <a16:creationId xmlns:a16="http://schemas.microsoft.com/office/drawing/2014/main" id="{B3708E42-2254-DB42-9792-164C2858A593}"/>
            </a:ext>
          </a:extLst>
        </xdr:cNvPr>
        <xdr:cNvCxnSpPr>
          <a:cxnSpLocks/>
        </xdr:cNvCxnSpPr>
      </xdr:nvCxnSpPr>
      <xdr:spPr>
        <a:xfrm>
          <a:off x="11159145" y="13756615"/>
          <a:ext cx="0" cy="3799140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198871</xdr:colOff>
      <xdr:row>55</xdr:row>
      <xdr:rowOff>291136</xdr:rowOff>
    </xdr:from>
    <xdr:to>
      <xdr:col>21</xdr:col>
      <xdr:colOff>198871</xdr:colOff>
      <xdr:row>64</xdr:row>
      <xdr:rowOff>19317</xdr:rowOff>
    </xdr:to>
    <xdr:cxnSp macro="">
      <xdr:nvCxnSpPr>
        <xdr:cNvPr id="364" name="Straight Connector 363">
          <a:extLst>
            <a:ext uri="{FF2B5EF4-FFF2-40B4-BE49-F238E27FC236}">
              <a16:creationId xmlns:a16="http://schemas.microsoft.com/office/drawing/2014/main" id="{F986304B-1C38-434D-B807-4678C3F4DA15}"/>
            </a:ext>
          </a:extLst>
        </xdr:cNvPr>
        <xdr:cNvCxnSpPr>
          <a:cxnSpLocks/>
        </xdr:cNvCxnSpPr>
      </xdr:nvCxnSpPr>
      <xdr:spPr>
        <a:xfrm>
          <a:off x="11159145" y="17827574"/>
          <a:ext cx="0" cy="2546538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112891</xdr:colOff>
      <xdr:row>55</xdr:row>
      <xdr:rowOff>42333</xdr:rowOff>
    </xdr:from>
    <xdr:to>
      <xdr:col>21</xdr:col>
      <xdr:colOff>239891</xdr:colOff>
      <xdr:row>55</xdr:row>
      <xdr:rowOff>282222</xdr:rowOff>
    </xdr:to>
    <xdr:sp macro="" textlink="">
      <xdr:nvSpPr>
        <xdr:cNvPr id="365" name="Rectangle 364">
          <a:extLst>
            <a:ext uri="{FF2B5EF4-FFF2-40B4-BE49-F238E27FC236}">
              <a16:creationId xmlns:a16="http://schemas.microsoft.com/office/drawing/2014/main" id="{87B3510D-C214-DB46-A25C-764E9CBEF3C6}"/>
            </a:ext>
          </a:extLst>
        </xdr:cNvPr>
        <xdr:cNvSpPr/>
      </xdr:nvSpPr>
      <xdr:spPr>
        <a:xfrm>
          <a:off x="11073165" y="17578771"/>
          <a:ext cx="127000" cy="23988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112891</xdr:colOff>
      <xdr:row>42</xdr:row>
      <xdr:rowOff>42333</xdr:rowOff>
    </xdr:from>
    <xdr:to>
      <xdr:col>21</xdr:col>
      <xdr:colOff>239891</xdr:colOff>
      <xdr:row>42</xdr:row>
      <xdr:rowOff>282222</xdr:rowOff>
    </xdr:to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6AFA0163-93EE-7E46-9D6C-57D44E684092}"/>
            </a:ext>
          </a:extLst>
        </xdr:cNvPr>
        <xdr:cNvSpPr/>
      </xdr:nvSpPr>
      <xdr:spPr>
        <a:xfrm>
          <a:off x="11073165" y="13507812"/>
          <a:ext cx="127000" cy="239889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FF00"/>
            </a:solidFill>
          </a:endParaRPr>
        </a:p>
      </xdr:txBody>
    </xdr:sp>
    <xdr:clientData/>
  </xdr:twoCellAnchor>
  <xdr:twoCellAnchor>
    <xdr:from>
      <xdr:col>21</xdr:col>
      <xdr:colOff>112891</xdr:colOff>
      <xdr:row>64</xdr:row>
      <xdr:rowOff>42333</xdr:rowOff>
    </xdr:from>
    <xdr:to>
      <xdr:col>21</xdr:col>
      <xdr:colOff>239891</xdr:colOff>
      <xdr:row>64</xdr:row>
      <xdr:rowOff>282222</xdr:rowOff>
    </xdr:to>
    <xdr:sp macro="" textlink="">
      <xdr:nvSpPr>
        <xdr:cNvPr id="367" name="Rectangle 366">
          <a:extLst>
            <a:ext uri="{FF2B5EF4-FFF2-40B4-BE49-F238E27FC236}">
              <a16:creationId xmlns:a16="http://schemas.microsoft.com/office/drawing/2014/main" id="{4F9D80EE-25DE-3545-AB84-84AC8F31DB49}"/>
            </a:ext>
          </a:extLst>
        </xdr:cNvPr>
        <xdr:cNvSpPr/>
      </xdr:nvSpPr>
      <xdr:spPr>
        <a:xfrm>
          <a:off x="11073165" y="20397128"/>
          <a:ext cx="127000" cy="239889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198871</xdr:colOff>
      <xdr:row>42</xdr:row>
      <xdr:rowOff>291136</xdr:rowOff>
    </xdr:from>
    <xdr:to>
      <xdr:col>24</xdr:col>
      <xdr:colOff>198871</xdr:colOff>
      <xdr:row>55</xdr:row>
      <xdr:rowOff>19317</xdr:rowOff>
    </xdr:to>
    <xdr:cxnSp macro="">
      <xdr:nvCxnSpPr>
        <xdr:cNvPr id="368" name="Straight Connector 367">
          <a:extLst>
            <a:ext uri="{FF2B5EF4-FFF2-40B4-BE49-F238E27FC236}">
              <a16:creationId xmlns:a16="http://schemas.microsoft.com/office/drawing/2014/main" id="{953C7D1D-2A03-E64C-9C5D-44DE12A81342}"/>
            </a:ext>
          </a:extLst>
        </xdr:cNvPr>
        <xdr:cNvCxnSpPr>
          <a:cxnSpLocks/>
        </xdr:cNvCxnSpPr>
      </xdr:nvCxnSpPr>
      <xdr:spPr>
        <a:xfrm>
          <a:off x="11159145" y="13756615"/>
          <a:ext cx="0" cy="3799140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198871</xdr:colOff>
      <xdr:row>55</xdr:row>
      <xdr:rowOff>291136</xdr:rowOff>
    </xdr:from>
    <xdr:to>
      <xdr:col>24</xdr:col>
      <xdr:colOff>198871</xdr:colOff>
      <xdr:row>64</xdr:row>
      <xdr:rowOff>19317</xdr:rowOff>
    </xdr:to>
    <xdr:cxnSp macro="">
      <xdr:nvCxnSpPr>
        <xdr:cNvPr id="369" name="Straight Connector 368">
          <a:extLst>
            <a:ext uri="{FF2B5EF4-FFF2-40B4-BE49-F238E27FC236}">
              <a16:creationId xmlns:a16="http://schemas.microsoft.com/office/drawing/2014/main" id="{AAF2EEFC-0D88-B043-BBAE-0E4BBEA4EF82}"/>
            </a:ext>
          </a:extLst>
        </xdr:cNvPr>
        <xdr:cNvCxnSpPr>
          <a:cxnSpLocks/>
        </xdr:cNvCxnSpPr>
      </xdr:nvCxnSpPr>
      <xdr:spPr>
        <a:xfrm>
          <a:off x="11159145" y="17827574"/>
          <a:ext cx="0" cy="2546538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112891</xdr:colOff>
      <xdr:row>55</xdr:row>
      <xdr:rowOff>42333</xdr:rowOff>
    </xdr:from>
    <xdr:to>
      <xdr:col>24</xdr:col>
      <xdr:colOff>239891</xdr:colOff>
      <xdr:row>55</xdr:row>
      <xdr:rowOff>282222</xdr:rowOff>
    </xdr:to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272F565D-EC96-2840-870F-3F848F77CFFE}"/>
            </a:ext>
          </a:extLst>
        </xdr:cNvPr>
        <xdr:cNvSpPr/>
      </xdr:nvSpPr>
      <xdr:spPr>
        <a:xfrm>
          <a:off x="11073165" y="17578771"/>
          <a:ext cx="127000" cy="23988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112891</xdr:colOff>
      <xdr:row>42</xdr:row>
      <xdr:rowOff>42333</xdr:rowOff>
    </xdr:from>
    <xdr:to>
      <xdr:col>24</xdr:col>
      <xdr:colOff>239891</xdr:colOff>
      <xdr:row>42</xdr:row>
      <xdr:rowOff>282222</xdr:rowOff>
    </xdr:to>
    <xdr:sp macro="" textlink="">
      <xdr:nvSpPr>
        <xdr:cNvPr id="371" name="Rectangle 370">
          <a:extLst>
            <a:ext uri="{FF2B5EF4-FFF2-40B4-BE49-F238E27FC236}">
              <a16:creationId xmlns:a16="http://schemas.microsoft.com/office/drawing/2014/main" id="{6339D62C-1A3F-674D-8A00-17870FDD95CB}"/>
            </a:ext>
          </a:extLst>
        </xdr:cNvPr>
        <xdr:cNvSpPr/>
      </xdr:nvSpPr>
      <xdr:spPr>
        <a:xfrm>
          <a:off x="11073165" y="13507812"/>
          <a:ext cx="127000" cy="239889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FF00"/>
            </a:solidFill>
          </a:endParaRPr>
        </a:p>
      </xdr:txBody>
    </xdr:sp>
    <xdr:clientData/>
  </xdr:twoCellAnchor>
  <xdr:twoCellAnchor>
    <xdr:from>
      <xdr:col>24</xdr:col>
      <xdr:colOff>112891</xdr:colOff>
      <xdr:row>64</xdr:row>
      <xdr:rowOff>42333</xdr:rowOff>
    </xdr:from>
    <xdr:to>
      <xdr:col>24</xdr:col>
      <xdr:colOff>239891</xdr:colOff>
      <xdr:row>64</xdr:row>
      <xdr:rowOff>282222</xdr:rowOff>
    </xdr:to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DD46F9CF-EE49-9B45-B78F-FE690A557C34}"/>
            </a:ext>
          </a:extLst>
        </xdr:cNvPr>
        <xdr:cNvSpPr/>
      </xdr:nvSpPr>
      <xdr:spPr>
        <a:xfrm>
          <a:off x="11073165" y="20397128"/>
          <a:ext cx="127000" cy="239889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37</xdr:col>
      <xdr:colOff>176391</xdr:colOff>
      <xdr:row>42</xdr:row>
      <xdr:rowOff>291136</xdr:rowOff>
    </xdr:from>
    <xdr:to>
      <xdr:col>37</xdr:col>
      <xdr:colOff>198871</xdr:colOff>
      <xdr:row>57</xdr:row>
      <xdr:rowOff>42333</xdr:rowOff>
    </xdr:to>
    <xdr:cxnSp macro="">
      <xdr:nvCxnSpPr>
        <xdr:cNvPr id="373" name="Straight Connector 372">
          <a:extLst>
            <a:ext uri="{FF2B5EF4-FFF2-40B4-BE49-F238E27FC236}">
              <a16:creationId xmlns:a16="http://schemas.microsoft.com/office/drawing/2014/main" id="{E5D1A8BA-2F2B-BE4E-896F-449AD29848DE}"/>
            </a:ext>
          </a:extLst>
        </xdr:cNvPr>
        <xdr:cNvCxnSpPr>
          <a:cxnSpLocks/>
          <a:endCxn id="375" idx="0"/>
        </xdr:cNvCxnSpPr>
      </xdr:nvCxnSpPr>
      <xdr:spPr>
        <a:xfrm flipH="1">
          <a:off x="13694062" y="13443465"/>
          <a:ext cx="22480" cy="4448457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198871</xdr:colOff>
      <xdr:row>57</xdr:row>
      <xdr:rowOff>291136</xdr:rowOff>
    </xdr:from>
    <xdr:to>
      <xdr:col>37</xdr:col>
      <xdr:colOff>198871</xdr:colOff>
      <xdr:row>66</xdr:row>
      <xdr:rowOff>19317</xdr:rowOff>
    </xdr:to>
    <xdr:cxnSp macro="">
      <xdr:nvCxnSpPr>
        <xdr:cNvPr id="374" name="Straight Connector 373">
          <a:extLst>
            <a:ext uri="{FF2B5EF4-FFF2-40B4-BE49-F238E27FC236}">
              <a16:creationId xmlns:a16="http://schemas.microsoft.com/office/drawing/2014/main" id="{05500F2E-7BF8-A541-B80F-EA747FC2D7C1}"/>
            </a:ext>
          </a:extLst>
        </xdr:cNvPr>
        <xdr:cNvCxnSpPr>
          <a:cxnSpLocks/>
        </xdr:cNvCxnSpPr>
      </xdr:nvCxnSpPr>
      <xdr:spPr>
        <a:xfrm>
          <a:off x="5679008" y="17514424"/>
          <a:ext cx="0" cy="2546537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112891</xdr:colOff>
      <xdr:row>57</xdr:row>
      <xdr:rowOff>42333</xdr:rowOff>
    </xdr:from>
    <xdr:to>
      <xdr:col>37</xdr:col>
      <xdr:colOff>239891</xdr:colOff>
      <xdr:row>57</xdr:row>
      <xdr:rowOff>282222</xdr:rowOff>
    </xdr:to>
    <xdr:sp macro="" textlink="">
      <xdr:nvSpPr>
        <xdr:cNvPr id="375" name="Rectangle 374">
          <a:extLst>
            <a:ext uri="{FF2B5EF4-FFF2-40B4-BE49-F238E27FC236}">
              <a16:creationId xmlns:a16="http://schemas.microsoft.com/office/drawing/2014/main" id="{0541B90A-C347-064F-9587-FE64039DC84D}"/>
            </a:ext>
          </a:extLst>
        </xdr:cNvPr>
        <xdr:cNvSpPr/>
      </xdr:nvSpPr>
      <xdr:spPr>
        <a:xfrm>
          <a:off x="5593028" y="17265621"/>
          <a:ext cx="127000" cy="23988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37</xdr:col>
      <xdr:colOff>112891</xdr:colOff>
      <xdr:row>42</xdr:row>
      <xdr:rowOff>42333</xdr:rowOff>
    </xdr:from>
    <xdr:to>
      <xdr:col>37</xdr:col>
      <xdr:colOff>239891</xdr:colOff>
      <xdr:row>42</xdr:row>
      <xdr:rowOff>282222</xdr:rowOff>
    </xdr:to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997C754D-8AF8-B64A-A9C7-0A5489E1818B}"/>
            </a:ext>
          </a:extLst>
        </xdr:cNvPr>
        <xdr:cNvSpPr/>
      </xdr:nvSpPr>
      <xdr:spPr>
        <a:xfrm>
          <a:off x="5593028" y="13194662"/>
          <a:ext cx="127000" cy="239889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FF00"/>
            </a:solidFill>
          </a:endParaRPr>
        </a:p>
      </xdr:txBody>
    </xdr:sp>
    <xdr:clientData/>
  </xdr:twoCellAnchor>
  <xdr:twoCellAnchor>
    <xdr:from>
      <xdr:col>37</xdr:col>
      <xdr:colOff>112891</xdr:colOff>
      <xdr:row>66</xdr:row>
      <xdr:rowOff>42333</xdr:rowOff>
    </xdr:from>
    <xdr:to>
      <xdr:col>37</xdr:col>
      <xdr:colOff>239891</xdr:colOff>
      <xdr:row>66</xdr:row>
      <xdr:rowOff>282222</xdr:rowOff>
    </xdr:to>
    <xdr:sp macro="" textlink="">
      <xdr:nvSpPr>
        <xdr:cNvPr id="377" name="Rectangle 376">
          <a:extLst>
            <a:ext uri="{FF2B5EF4-FFF2-40B4-BE49-F238E27FC236}">
              <a16:creationId xmlns:a16="http://schemas.microsoft.com/office/drawing/2014/main" id="{F3998FB2-615F-BA4C-8632-DE507CFBC95D}"/>
            </a:ext>
          </a:extLst>
        </xdr:cNvPr>
        <xdr:cNvSpPr/>
      </xdr:nvSpPr>
      <xdr:spPr>
        <a:xfrm>
          <a:off x="5593028" y="20083977"/>
          <a:ext cx="127000" cy="239889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40</xdr:col>
      <xdr:colOff>176391</xdr:colOff>
      <xdr:row>42</xdr:row>
      <xdr:rowOff>291136</xdr:rowOff>
    </xdr:from>
    <xdr:to>
      <xdr:col>40</xdr:col>
      <xdr:colOff>198871</xdr:colOff>
      <xdr:row>57</xdr:row>
      <xdr:rowOff>42333</xdr:rowOff>
    </xdr:to>
    <xdr:cxnSp macro="">
      <xdr:nvCxnSpPr>
        <xdr:cNvPr id="378" name="Straight Connector 377">
          <a:extLst>
            <a:ext uri="{FF2B5EF4-FFF2-40B4-BE49-F238E27FC236}">
              <a16:creationId xmlns:a16="http://schemas.microsoft.com/office/drawing/2014/main" id="{D22B483E-2133-E543-9752-3FAF9A6F30A6}"/>
            </a:ext>
          </a:extLst>
        </xdr:cNvPr>
        <xdr:cNvCxnSpPr>
          <a:cxnSpLocks/>
          <a:endCxn id="380" idx="0"/>
        </xdr:cNvCxnSpPr>
      </xdr:nvCxnSpPr>
      <xdr:spPr>
        <a:xfrm flipH="1">
          <a:off x="14790090" y="13443465"/>
          <a:ext cx="22480" cy="4448457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198871</xdr:colOff>
      <xdr:row>57</xdr:row>
      <xdr:rowOff>291136</xdr:rowOff>
    </xdr:from>
    <xdr:to>
      <xdr:col>40</xdr:col>
      <xdr:colOff>198871</xdr:colOff>
      <xdr:row>66</xdr:row>
      <xdr:rowOff>19317</xdr:rowOff>
    </xdr:to>
    <xdr:cxnSp macro="">
      <xdr:nvCxnSpPr>
        <xdr:cNvPr id="379" name="Straight Connector 378">
          <a:extLst>
            <a:ext uri="{FF2B5EF4-FFF2-40B4-BE49-F238E27FC236}">
              <a16:creationId xmlns:a16="http://schemas.microsoft.com/office/drawing/2014/main" id="{98D19FA4-DE48-6F49-AD0C-9952D21C261A}"/>
            </a:ext>
          </a:extLst>
        </xdr:cNvPr>
        <xdr:cNvCxnSpPr>
          <a:cxnSpLocks/>
        </xdr:cNvCxnSpPr>
      </xdr:nvCxnSpPr>
      <xdr:spPr>
        <a:xfrm>
          <a:off x="6775035" y="17514424"/>
          <a:ext cx="0" cy="2546537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112891</xdr:colOff>
      <xdr:row>57</xdr:row>
      <xdr:rowOff>42333</xdr:rowOff>
    </xdr:from>
    <xdr:to>
      <xdr:col>40</xdr:col>
      <xdr:colOff>239891</xdr:colOff>
      <xdr:row>57</xdr:row>
      <xdr:rowOff>282222</xdr:rowOff>
    </xdr:to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ADAD2157-1AD3-4A48-8AC2-89D2D3FE8C79}"/>
            </a:ext>
          </a:extLst>
        </xdr:cNvPr>
        <xdr:cNvSpPr/>
      </xdr:nvSpPr>
      <xdr:spPr>
        <a:xfrm>
          <a:off x="6689055" y="17265621"/>
          <a:ext cx="127000" cy="23988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40</xdr:col>
      <xdr:colOff>112891</xdr:colOff>
      <xdr:row>42</xdr:row>
      <xdr:rowOff>42333</xdr:rowOff>
    </xdr:from>
    <xdr:to>
      <xdr:col>40</xdr:col>
      <xdr:colOff>239891</xdr:colOff>
      <xdr:row>42</xdr:row>
      <xdr:rowOff>282222</xdr:rowOff>
    </xdr:to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0F8C6078-2E16-1844-925A-524D7C86A6E0}"/>
            </a:ext>
          </a:extLst>
        </xdr:cNvPr>
        <xdr:cNvSpPr/>
      </xdr:nvSpPr>
      <xdr:spPr>
        <a:xfrm>
          <a:off x="6689055" y="13194662"/>
          <a:ext cx="127000" cy="239889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FF00"/>
            </a:solidFill>
          </a:endParaRPr>
        </a:p>
      </xdr:txBody>
    </xdr:sp>
    <xdr:clientData/>
  </xdr:twoCellAnchor>
  <xdr:twoCellAnchor>
    <xdr:from>
      <xdr:col>40</xdr:col>
      <xdr:colOff>112891</xdr:colOff>
      <xdr:row>66</xdr:row>
      <xdr:rowOff>42333</xdr:rowOff>
    </xdr:from>
    <xdr:to>
      <xdr:col>40</xdr:col>
      <xdr:colOff>239891</xdr:colOff>
      <xdr:row>66</xdr:row>
      <xdr:rowOff>282222</xdr:rowOff>
    </xdr:to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1E3565CB-A03B-9D4A-991F-D268A22E27C7}"/>
            </a:ext>
          </a:extLst>
        </xdr:cNvPr>
        <xdr:cNvSpPr/>
      </xdr:nvSpPr>
      <xdr:spPr>
        <a:xfrm>
          <a:off x="6689055" y="20083977"/>
          <a:ext cx="127000" cy="239889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43</xdr:col>
      <xdr:colOff>176391</xdr:colOff>
      <xdr:row>42</xdr:row>
      <xdr:rowOff>291136</xdr:rowOff>
    </xdr:from>
    <xdr:to>
      <xdr:col>43</xdr:col>
      <xdr:colOff>198871</xdr:colOff>
      <xdr:row>57</xdr:row>
      <xdr:rowOff>42333</xdr:rowOff>
    </xdr:to>
    <xdr:cxnSp macro="">
      <xdr:nvCxnSpPr>
        <xdr:cNvPr id="383" name="Straight Connector 382">
          <a:extLst>
            <a:ext uri="{FF2B5EF4-FFF2-40B4-BE49-F238E27FC236}">
              <a16:creationId xmlns:a16="http://schemas.microsoft.com/office/drawing/2014/main" id="{4B2C1F46-A3B7-724E-9CA2-3C7F33E4D92C}"/>
            </a:ext>
          </a:extLst>
        </xdr:cNvPr>
        <xdr:cNvCxnSpPr>
          <a:cxnSpLocks/>
          <a:endCxn id="385" idx="0"/>
        </xdr:cNvCxnSpPr>
      </xdr:nvCxnSpPr>
      <xdr:spPr>
        <a:xfrm flipH="1">
          <a:off x="15886117" y="13443465"/>
          <a:ext cx="22480" cy="4448457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198871</xdr:colOff>
      <xdr:row>57</xdr:row>
      <xdr:rowOff>291136</xdr:rowOff>
    </xdr:from>
    <xdr:to>
      <xdr:col>43</xdr:col>
      <xdr:colOff>198871</xdr:colOff>
      <xdr:row>66</xdr:row>
      <xdr:rowOff>19317</xdr:rowOff>
    </xdr:to>
    <xdr:cxnSp macro="">
      <xdr:nvCxnSpPr>
        <xdr:cNvPr id="384" name="Straight Connector 383">
          <a:extLst>
            <a:ext uri="{FF2B5EF4-FFF2-40B4-BE49-F238E27FC236}">
              <a16:creationId xmlns:a16="http://schemas.microsoft.com/office/drawing/2014/main" id="{DF48AC4D-9581-8248-8822-E393F5A42843}"/>
            </a:ext>
          </a:extLst>
        </xdr:cNvPr>
        <xdr:cNvCxnSpPr>
          <a:cxnSpLocks/>
        </xdr:cNvCxnSpPr>
      </xdr:nvCxnSpPr>
      <xdr:spPr>
        <a:xfrm>
          <a:off x="7871063" y="17514424"/>
          <a:ext cx="0" cy="2546537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112891</xdr:colOff>
      <xdr:row>57</xdr:row>
      <xdr:rowOff>42333</xdr:rowOff>
    </xdr:from>
    <xdr:to>
      <xdr:col>43</xdr:col>
      <xdr:colOff>239891</xdr:colOff>
      <xdr:row>57</xdr:row>
      <xdr:rowOff>282222</xdr:rowOff>
    </xdr:to>
    <xdr:sp macro="" textlink="">
      <xdr:nvSpPr>
        <xdr:cNvPr id="385" name="Rectangle 384">
          <a:extLst>
            <a:ext uri="{FF2B5EF4-FFF2-40B4-BE49-F238E27FC236}">
              <a16:creationId xmlns:a16="http://schemas.microsoft.com/office/drawing/2014/main" id="{6D70B4CB-CED3-1141-B390-D789FCA002E5}"/>
            </a:ext>
          </a:extLst>
        </xdr:cNvPr>
        <xdr:cNvSpPr/>
      </xdr:nvSpPr>
      <xdr:spPr>
        <a:xfrm>
          <a:off x="7785083" y="17265621"/>
          <a:ext cx="127000" cy="23988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43</xdr:col>
      <xdr:colOff>112891</xdr:colOff>
      <xdr:row>42</xdr:row>
      <xdr:rowOff>42333</xdr:rowOff>
    </xdr:from>
    <xdr:to>
      <xdr:col>43</xdr:col>
      <xdr:colOff>239891</xdr:colOff>
      <xdr:row>42</xdr:row>
      <xdr:rowOff>282222</xdr:rowOff>
    </xdr:to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CA71ADCB-015F-464D-82EF-7313C94141C8}"/>
            </a:ext>
          </a:extLst>
        </xdr:cNvPr>
        <xdr:cNvSpPr/>
      </xdr:nvSpPr>
      <xdr:spPr>
        <a:xfrm>
          <a:off x="7785083" y="13194662"/>
          <a:ext cx="127000" cy="239889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FF00"/>
            </a:solidFill>
          </a:endParaRPr>
        </a:p>
      </xdr:txBody>
    </xdr:sp>
    <xdr:clientData/>
  </xdr:twoCellAnchor>
  <xdr:twoCellAnchor>
    <xdr:from>
      <xdr:col>43</xdr:col>
      <xdr:colOff>112891</xdr:colOff>
      <xdr:row>66</xdr:row>
      <xdr:rowOff>42333</xdr:rowOff>
    </xdr:from>
    <xdr:to>
      <xdr:col>43</xdr:col>
      <xdr:colOff>239891</xdr:colOff>
      <xdr:row>66</xdr:row>
      <xdr:rowOff>282222</xdr:rowOff>
    </xdr:to>
    <xdr:sp macro="" textlink="">
      <xdr:nvSpPr>
        <xdr:cNvPr id="387" name="Rectangle 386">
          <a:extLst>
            <a:ext uri="{FF2B5EF4-FFF2-40B4-BE49-F238E27FC236}">
              <a16:creationId xmlns:a16="http://schemas.microsoft.com/office/drawing/2014/main" id="{011ADB0B-C6FB-7C45-B615-63D4F0F4F09A}"/>
            </a:ext>
          </a:extLst>
        </xdr:cNvPr>
        <xdr:cNvSpPr/>
      </xdr:nvSpPr>
      <xdr:spPr>
        <a:xfrm>
          <a:off x="7785083" y="20083977"/>
          <a:ext cx="127000" cy="239889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46</xdr:col>
      <xdr:colOff>176391</xdr:colOff>
      <xdr:row>42</xdr:row>
      <xdr:rowOff>291136</xdr:rowOff>
    </xdr:from>
    <xdr:to>
      <xdr:col>46</xdr:col>
      <xdr:colOff>198871</xdr:colOff>
      <xdr:row>57</xdr:row>
      <xdr:rowOff>42333</xdr:rowOff>
    </xdr:to>
    <xdr:cxnSp macro="">
      <xdr:nvCxnSpPr>
        <xdr:cNvPr id="388" name="Straight Connector 387">
          <a:extLst>
            <a:ext uri="{FF2B5EF4-FFF2-40B4-BE49-F238E27FC236}">
              <a16:creationId xmlns:a16="http://schemas.microsoft.com/office/drawing/2014/main" id="{88D0EEC2-2E18-804A-8DFE-7A6173E85A12}"/>
            </a:ext>
          </a:extLst>
        </xdr:cNvPr>
        <xdr:cNvCxnSpPr>
          <a:cxnSpLocks/>
          <a:endCxn id="390" idx="0"/>
        </xdr:cNvCxnSpPr>
      </xdr:nvCxnSpPr>
      <xdr:spPr>
        <a:xfrm flipH="1">
          <a:off x="16982144" y="13443465"/>
          <a:ext cx="22480" cy="4448457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198871</xdr:colOff>
      <xdr:row>57</xdr:row>
      <xdr:rowOff>291136</xdr:rowOff>
    </xdr:from>
    <xdr:to>
      <xdr:col>46</xdr:col>
      <xdr:colOff>198871</xdr:colOff>
      <xdr:row>66</xdr:row>
      <xdr:rowOff>19317</xdr:rowOff>
    </xdr:to>
    <xdr:cxnSp macro="">
      <xdr:nvCxnSpPr>
        <xdr:cNvPr id="389" name="Straight Connector 388">
          <a:extLst>
            <a:ext uri="{FF2B5EF4-FFF2-40B4-BE49-F238E27FC236}">
              <a16:creationId xmlns:a16="http://schemas.microsoft.com/office/drawing/2014/main" id="{6313196B-1A21-B04E-BF98-C48662FAA357}"/>
            </a:ext>
          </a:extLst>
        </xdr:cNvPr>
        <xdr:cNvCxnSpPr>
          <a:cxnSpLocks/>
        </xdr:cNvCxnSpPr>
      </xdr:nvCxnSpPr>
      <xdr:spPr>
        <a:xfrm>
          <a:off x="8967090" y="17514424"/>
          <a:ext cx="0" cy="2546537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112891</xdr:colOff>
      <xdr:row>57</xdr:row>
      <xdr:rowOff>42333</xdr:rowOff>
    </xdr:from>
    <xdr:to>
      <xdr:col>46</xdr:col>
      <xdr:colOff>239891</xdr:colOff>
      <xdr:row>57</xdr:row>
      <xdr:rowOff>282222</xdr:rowOff>
    </xdr:to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C74D216E-2B22-3D43-B9CA-5BCCCE6567F5}"/>
            </a:ext>
          </a:extLst>
        </xdr:cNvPr>
        <xdr:cNvSpPr/>
      </xdr:nvSpPr>
      <xdr:spPr>
        <a:xfrm>
          <a:off x="8881110" y="17265621"/>
          <a:ext cx="127000" cy="23988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46</xdr:col>
      <xdr:colOff>112891</xdr:colOff>
      <xdr:row>42</xdr:row>
      <xdr:rowOff>42333</xdr:rowOff>
    </xdr:from>
    <xdr:to>
      <xdr:col>46</xdr:col>
      <xdr:colOff>239891</xdr:colOff>
      <xdr:row>42</xdr:row>
      <xdr:rowOff>282222</xdr:rowOff>
    </xdr:to>
    <xdr:sp macro="" textlink="">
      <xdr:nvSpPr>
        <xdr:cNvPr id="391" name="Rectangle 390">
          <a:extLst>
            <a:ext uri="{FF2B5EF4-FFF2-40B4-BE49-F238E27FC236}">
              <a16:creationId xmlns:a16="http://schemas.microsoft.com/office/drawing/2014/main" id="{87638E9C-C489-4644-9663-2A936CFD4A5F}"/>
            </a:ext>
          </a:extLst>
        </xdr:cNvPr>
        <xdr:cNvSpPr/>
      </xdr:nvSpPr>
      <xdr:spPr>
        <a:xfrm>
          <a:off x="8881110" y="13194662"/>
          <a:ext cx="127000" cy="239889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FF00"/>
            </a:solidFill>
          </a:endParaRPr>
        </a:p>
      </xdr:txBody>
    </xdr:sp>
    <xdr:clientData/>
  </xdr:twoCellAnchor>
  <xdr:twoCellAnchor>
    <xdr:from>
      <xdr:col>46</xdr:col>
      <xdr:colOff>112891</xdr:colOff>
      <xdr:row>66</xdr:row>
      <xdr:rowOff>42333</xdr:rowOff>
    </xdr:from>
    <xdr:to>
      <xdr:col>46</xdr:col>
      <xdr:colOff>239891</xdr:colOff>
      <xdr:row>66</xdr:row>
      <xdr:rowOff>282222</xdr:rowOff>
    </xdr:to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B246863A-EB7E-684E-8F8C-444F4D9F8E6A}"/>
            </a:ext>
          </a:extLst>
        </xdr:cNvPr>
        <xdr:cNvSpPr/>
      </xdr:nvSpPr>
      <xdr:spPr>
        <a:xfrm>
          <a:off x="8881110" y="20083977"/>
          <a:ext cx="127000" cy="239889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34</xdr:col>
      <xdr:colOff>112891</xdr:colOff>
      <xdr:row>57</xdr:row>
      <xdr:rowOff>42333</xdr:rowOff>
    </xdr:from>
    <xdr:to>
      <xdr:col>34</xdr:col>
      <xdr:colOff>239891</xdr:colOff>
      <xdr:row>57</xdr:row>
      <xdr:rowOff>282222</xdr:rowOff>
    </xdr:to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F2731A3F-5C18-5448-B5B9-54641CDA3386}"/>
            </a:ext>
          </a:extLst>
        </xdr:cNvPr>
        <xdr:cNvSpPr/>
      </xdr:nvSpPr>
      <xdr:spPr>
        <a:xfrm>
          <a:off x="13630562" y="17891922"/>
          <a:ext cx="127000" cy="23988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34</xdr:col>
      <xdr:colOff>239891</xdr:colOff>
      <xdr:row>57</xdr:row>
      <xdr:rowOff>162278</xdr:rowOff>
    </xdr:from>
    <xdr:to>
      <xdr:col>37</xdr:col>
      <xdr:colOff>112891</xdr:colOff>
      <xdr:row>57</xdr:row>
      <xdr:rowOff>162278</xdr:rowOff>
    </xdr:to>
    <xdr:cxnSp macro="">
      <xdr:nvCxnSpPr>
        <xdr:cNvPr id="401" name="Straight Connector 400">
          <a:extLst>
            <a:ext uri="{FF2B5EF4-FFF2-40B4-BE49-F238E27FC236}">
              <a16:creationId xmlns:a16="http://schemas.microsoft.com/office/drawing/2014/main" id="{372035F1-0C75-F946-A139-1BF1F845C516}"/>
            </a:ext>
          </a:extLst>
        </xdr:cNvPr>
        <xdr:cNvCxnSpPr>
          <a:stCxn id="398" idx="3"/>
          <a:endCxn id="375" idx="1"/>
        </xdr:cNvCxnSpPr>
      </xdr:nvCxnSpPr>
      <xdr:spPr>
        <a:xfrm>
          <a:off x="12701233" y="17652479"/>
          <a:ext cx="972530" cy="0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239891</xdr:colOff>
      <xdr:row>57</xdr:row>
      <xdr:rowOff>162278</xdr:rowOff>
    </xdr:from>
    <xdr:to>
      <xdr:col>40</xdr:col>
      <xdr:colOff>112891</xdr:colOff>
      <xdr:row>57</xdr:row>
      <xdr:rowOff>162278</xdr:rowOff>
    </xdr:to>
    <xdr:cxnSp macro="">
      <xdr:nvCxnSpPr>
        <xdr:cNvPr id="404" name="Straight Connector 403">
          <a:extLst>
            <a:ext uri="{FF2B5EF4-FFF2-40B4-BE49-F238E27FC236}">
              <a16:creationId xmlns:a16="http://schemas.microsoft.com/office/drawing/2014/main" id="{5BE891DB-09A4-AB4D-A0E0-95CD222F154E}"/>
            </a:ext>
          </a:extLst>
        </xdr:cNvPr>
        <xdr:cNvCxnSpPr>
          <a:stCxn id="375" idx="3"/>
          <a:endCxn id="380" idx="1"/>
        </xdr:cNvCxnSpPr>
      </xdr:nvCxnSpPr>
      <xdr:spPr>
        <a:xfrm>
          <a:off x="13800763" y="17652479"/>
          <a:ext cx="972531" cy="0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239891</xdr:colOff>
      <xdr:row>57</xdr:row>
      <xdr:rowOff>162278</xdr:rowOff>
    </xdr:from>
    <xdr:to>
      <xdr:col>43</xdr:col>
      <xdr:colOff>112891</xdr:colOff>
      <xdr:row>57</xdr:row>
      <xdr:rowOff>162278</xdr:rowOff>
    </xdr:to>
    <xdr:cxnSp macro="">
      <xdr:nvCxnSpPr>
        <xdr:cNvPr id="407" name="Straight Connector 406">
          <a:extLst>
            <a:ext uri="{FF2B5EF4-FFF2-40B4-BE49-F238E27FC236}">
              <a16:creationId xmlns:a16="http://schemas.microsoft.com/office/drawing/2014/main" id="{A402BD2C-2081-8F45-BF4A-CD22AF25C05C}"/>
            </a:ext>
          </a:extLst>
        </xdr:cNvPr>
        <xdr:cNvCxnSpPr>
          <a:stCxn id="380" idx="3"/>
          <a:endCxn id="385" idx="1"/>
        </xdr:cNvCxnSpPr>
      </xdr:nvCxnSpPr>
      <xdr:spPr>
        <a:xfrm>
          <a:off x="14900294" y="17652479"/>
          <a:ext cx="972530" cy="0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239891</xdr:colOff>
      <xdr:row>57</xdr:row>
      <xdr:rowOff>162278</xdr:rowOff>
    </xdr:from>
    <xdr:to>
      <xdr:col>46</xdr:col>
      <xdr:colOff>112891</xdr:colOff>
      <xdr:row>57</xdr:row>
      <xdr:rowOff>162278</xdr:rowOff>
    </xdr:to>
    <xdr:cxnSp macro="">
      <xdr:nvCxnSpPr>
        <xdr:cNvPr id="410" name="Straight Connector 409">
          <a:extLst>
            <a:ext uri="{FF2B5EF4-FFF2-40B4-BE49-F238E27FC236}">
              <a16:creationId xmlns:a16="http://schemas.microsoft.com/office/drawing/2014/main" id="{25C5C6F7-67ED-4A46-9FF2-82F591A660C8}"/>
            </a:ext>
          </a:extLst>
        </xdr:cNvPr>
        <xdr:cNvCxnSpPr>
          <a:stCxn id="385" idx="3"/>
          <a:endCxn id="390" idx="1"/>
        </xdr:cNvCxnSpPr>
      </xdr:nvCxnSpPr>
      <xdr:spPr>
        <a:xfrm>
          <a:off x="15999824" y="17652479"/>
          <a:ext cx="972530" cy="0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289650</xdr:colOff>
      <xdr:row>40</xdr:row>
      <xdr:rowOff>222807</xdr:rowOff>
    </xdr:from>
    <xdr:to>
      <xdr:col>48</xdr:col>
      <xdr:colOff>56645</xdr:colOff>
      <xdr:row>67</xdr:row>
      <xdr:rowOff>222807</xdr:rowOff>
    </xdr:to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656889D1-1559-0B49-B8F9-B9815691AC1C}"/>
            </a:ext>
          </a:extLst>
        </xdr:cNvPr>
        <xdr:cNvSpPr/>
      </xdr:nvSpPr>
      <xdr:spPr>
        <a:xfrm>
          <a:off x="10137720" y="12700000"/>
          <a:ext cx="8099978" cy="842210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3000">
              <a:solidFill>
                <a:schemeClr val="tx1"/>
              </a:solidFill>
            </a:rPr>
            <a:t>RNN</a:t>
          </a:r>
        </a:p>
      </xdr:txBody>
    </xdr:sp>
    <xdr:clientData/>
  </xdr:twoCellAnchor>
  <xdr:twoCellAnchor>
    <xdr:from>
      <xdr:col>15</xdr:col>
      <xdr:colOff>198871</xdr:colOff>
      <xdr:row>89</xdr:row>
      <xdr:rowOff>291136</xdr:rowOff>
    </xdr:from>
    <xdr:to>
      <xdr:col>15</xdr:col>
      <xdr:colOff>198871</xdr:colOff>
      <xdr:row>102</xdr:row>
      <xdr:rowOff>19317</xdr:rowOff>
    </xdr:to>
    <xdr:cxnSp macro="">
      <xdr:nvCxnSpPr>
        <xdr:cNvPr id="415" name="Straight Connector 414">
          <a:extLst>
            <a:ext uri="{FF2B5EF4-FFF2-40B4-BE49-F238E27FC236}">
              <a16:creationId xmlns:a16="http://schemas.microsoft.com/office/drawing/2014/main" id="{EC429985-0352-9144-815A-43E311D3DE85}"/>
            </a:ext>
          </a:extLst>
        </xdr:cNvPr>
        <xdr:cNvCxnSpPr>
          <a:cxnSpLocks/>
        </xdr:cNvCxnSpPr>
      </xdr:nvCxnSpPr>
      <xdr:spPr>
        <a:xfrm>
          <a:off x="5880450" y="13392189"/>
          <a:ext cx="0" cy="3783268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198871</xdr:colOff>
      <xdr:row>102</xdr:row>
      <xdr:rowOff>291136</xdr:rowOff>
    </xdr:from>
    <xdr:to>
      <xdr:col>15</xdr:col>
      <xdr:colOff>198871</xdr:colOff>
      <xdr:row>111</xdr:row>
      <xdr:rowOff>19317</xdr:rowOff>
    </xdr:to>
    <xdr:cxnSp macro="">
      <xdr:nvCxnSpPr>
        <xdr:cNvPr id="416" name="Straight Connector 415">
          <a:extLst>
            <a:ext uri="{FF2B5EF4-FFF2-40B4-BE49-F238E27FC236}">
              <a16:creationId xmlns:a16="http://schemas.microsoft.com/office/drawing/2014/main" id="{C83BF049-251A-3243-9C03-BD395A1C2DB9}"/>
            </a:ext>
          </a:extLst>
        </xdr:cNvPr>
        <xdr:cNvCxnSpPr>
          <a:cxnSpLocks/>
        </xdr:cNvCxnSpPr>
      </xdr:nvCxnSpPr>
      <xdr:spPr>
        <a:xfrm>
          <a:off x="5880450" y="17447276"/>
          <a:ext cx="0" cy="2535550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112891</xdr:colOff>
      <xdr:row>102</xdr:row>
      <xdr:rowOff>42333</xdr:rowOff>
    </xdr:from>
    <xdr:to>
      <xdr:col>15</xdr:col>
      <xdr:colOff>239891</xdr:colOff>
      <xdr:row>102</xdr:row>
      <xdr:rowOff>282222</xdr:rowOff>
    </xdr:to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59FE9606-A21D-7145-9A1D-6A043D1C88E5}"/>
            </a:ext>
          </a:extLst>
        </xdr:cNvPr>
        <xdr:cNvSpPr/>
      </xdr:nvSpPr>
      <xdr:spPr>
        <a:xfrm>
          <a:off x="5794470" y="17198473"/>
          <a:ext cx="127000" cy="23988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112891</xdr:colOff>
      <xdr:row>89</xdr:row>
      <xdr:rowOff>42333</xdr:rowOff>
    </xdr:from>
    <xdr:to>
      <xdr:col>15</xdr:col>
      <xdr:colOff>239891</xdr:colOff>
      <xdr:row>89</xdr:row>
      <xdr:rowOff>282222</xdr:rowOff>
    </xdr:to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7CB90AF2-B290-0C40-934C-DF4F20A8E21E}"/>
            </a:ext>
          </a:extLst>
        </xdr:cNvPr>
        <xdr:cNvSpPr/>
      </xdr:nvSpPr>
      <xdr:spPr>
        <a:xfrm>
          <a:off x="5794470" y="13143386"/>
          <a:ext cx="127000" cy="239889"/>
        </a:xfrm>
        <a:prstGeom prst="rect">
          <a:avLst/>
        </a:prstGeom>
        <a:solidFill>
          <a:srgbClr val="FFFF00"/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FF00"/>
            </a:solidFill>
          </a:endParaRPr>
        </a:p>
      </xdr:txBody>
    </xdr:sp>
    <xdr:clientData/>
  </xdr:twoCellAnchor>
  <xdr:twoCellAnchor>
    <xdr:from>
      <xdr:col>15</xdr:col>
      <xdr:colOff>112891</xdr:colOff>
      <xdr:row>111</xdr:row>
      <xdr:rowOff>42333</xdr:rowOff>
    </xdr:from>
    <xdr:to>
      <xdr:col>15</xdr:col>
      <xdr:colOff>239891</xdr:colOff>
      <xdr:row>111</xdr:row>
      <xdr:rowOff>282222</xdr:rowOff>
    </xdr:to>
    <xdr:sp macro="" textlink="">
      <xdr:nvSpPr>
        <xdr:cNvPr id="419" name="Rectangle 418">
          <a:extLst>
            <a:ext uri="{FF2B5EF4-FFF2-40B4-BE49-F238E27FC236}">
              <a16:creationId xmlns:a16="http://schemas.microsoft.com/office/drawing/2014/main" id="{3B9A5C72-1FB8-874C-B7CA-0ED65A49C0FA}"/>
            </a:ext>
          </a:extLst>
        </xdr:cNvPr>
        <xdr:cNvSpPr/>
      </xdr:nvSpPr>
      <xdr:spPr>
        <a:xfrm>
          <a:off x="5794470" y="20005842"/>
          <a:ext cx="127000" cy="239889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198871</xdr:colOff>
      <xdr:row>89</xdr:row>
      <xdr:rowOff>291136</xdr:rowOff>
    </xdr:from>
    <xdr:to>
      <xdr:col>18</xdr:col>
      <xdr:colOff>198871</xdr:colOff>
      <xdr:row>102</xdr:row>
      <xdr:rowOff>19317</xdr:rowOff>
    </xdr:to>
    <xdr:cxnSp macro="">
      <xdr:nvCxnSpPr>
        <xdr:cNvPr id="420" name="Straight Connector 419">
          <a:extLst>
            <a:ext uri="{FF2B5EF4-FFF2-40B4-BE49-F238E27FC236}">
              <a16:creationId xmlns:a16="http://schemas.microsoft.com/office/drawing/2014/main" id="{3A30401E-7E37-B140-9E84-3D3D4CCDD859}"/>
            </a:ext>
          </a:extLst>
        </xdr:cNvPr>
        <xdr:cNvCxnSpPr>
          <a:cxnSpLocks/>
        </xdr:cNvCxnSpPr>
      </xdr:nvCxnSpPr>
      <xdr:spPr>
        <a:xfrm>
          <a:off x="5880450" y="13392189"/>
          <a:ext cx="0" cy="3783268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198871</xdr:colOff>
      <xdr:row>102</xdr:row>
      <xdr:rowOff>291136</xdr:rowOff>
    </xdr:from>
    <xdr:to>
      <xdr:col>18</xdr:col>
      <xdr:colOff>198871</xdr:colOff>
      <xdr:row>111</xdr:row>
      <xdr:rowOff>19317</xdr:rowOff>
    </xdr:to>
    <xdr:cxnSp macro="">
      <xdr:nvCxnSpPr>
        <xdr:cNvPr id="421" name="Straight Connector 420">
          <a:extLst>
            <a:ext uri="{FF2B5EF4-FFF2-40B4-BE49-F238E27FC236}">
              <a16:creationId xmlns:a16="http://schemas.microsoft.com/office/drawing/2014/main" id="{5DE3E97B-D6DC-744B-8580-B92E7F810593}"/>
            </a:ext>
          </a:extLst>
        </xdr:cNvPr>
        <xdr:cNvCxnSpPr>
          <a:cxnSpLocks/>
        </xdr:cNvCxnSpPr>
      </xdr:nvCxnSpPr>
      <xdr:spPr>
        <a:xfrm>
          <a:off x="5880450" y="17447276"/>
          <a:ext cx="0" cy="2535550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112891</xdr:colOff>
      <xdr:row>102</xdr:row>
      <xdr:rowOff>42333</xdr:rowOff>
    </xdr:from>
    <xdr:to>
      <xdr:col>18</xdr:col>
      <xdr:colOff>239891</xdr:colOff>
      <xdr:row>102</xdr:row>
      <xdr:rowOff>282222</xdr:rowOff>
    </xdr:to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10EAE544-4AE8-6840-9440-148E62827B03}"/>
            </a:ext>
          </a:extLst>
        </xdr:cNvPr>
        <xdr:cNvSpPr/>
      </xdr:nvSpPr>
      <xdr:spPr>
        <a:xfrm>
          <a:off x="5794470" y="17198473"/>
          <a:ext cx="127000" cy="23988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112891</xdr:colOff>
      <xdr:row>89</xdr:row>
      <xdr:rowOff>42333</xdr:rowOff>
    </xdr:from>
    <xdr:to>
      <xdr:col>18</xdr:col>
      <xdr:colOff>239891</xdr:colOff>
      <xdr:row>89</xdr:row>
      <xdr:rowOff>282222</xdr:rowOff>
    </xdr:to>
    <xdr:sp macro="" textlink="">
      <xdr:nvSpPr>
        <xdr:cNvPr id="423" name="Rectangle 422">
          <a:extLst>
            <a:ext uri="{FF2B5EF4-FFF2-40B4-BE49-F238E27FC236}">
              <a16:creationId xmlns:a16="http://schemas.microsoft.com/office/drawing/2014/main" id="{DF72E701-E5FD-044E-90B3-66CDF519B056}"/>
            </a:ext>
          </a:extLst>
        </xdr:cNvPr>
        <xdr:cNvSpPr/>
      </xdr:nvSpPr>
      <xdr:spPr>
        <a:xfrm>
          <a:off x="5794470" y="13143386"/>
          <a:ext cx="127000" cy="239889"/>
        </a:xfrm>
        <a:prstGeom prst="rect">
          <a:avLst/>
        </a:prstGeom>
        <a:solidFill>
          <a:srgbClr val="FFFF00"/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FF00"/>
            </a:solidFill>
          </a:endParaRPr>
        </a:p>
      </xdr:txBody>
    </xdr:sp>
    <xdr:clientData/>
  </xdr:twoCellAnchor>
  <xdr:twoCellAnchor>
    <xdr:from>
      <xdr:col>18</xdr:col>
      <xdr:colOff>112891</xdr:colOff>
      <xdr:row>111</xdr:row>
      <xdr:rowOff>42333</xdr:rowOff>
    </xdr:from>
    <xdr:to>
      <xdr:col>18</xdr:col>
      <xdr:colOff>239891</xdr:colOff>
      <xdr:row>111</xdr:row>
      <xdr:rowOff>282222</xdr:rowOff>
    </xdr:to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DA5C7285-D8C5-0743-867B-3DE152B8CA91}"/>
            </a:ext>
          </a:extLst>
        </xdr:cNvPr>
        <xdr:cNvSpPr/>
      </xdr:nvSpPr>
      <xdr:spPr>
        <a:xfrm>
          <a:off x="5794470" y="20005842"/>
          <a:ext cx="127000" cy="239889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198871</xdr:colOff>
      <xdr:row>89</xdr:row>
      <xdr:rowOff>291136</xdr:rowOff>
    </xdr:from>
    <xdr:to>
      <xdr:col>21</xdr:col>
      <xdr:colOff>198871</xdr:colOff>
      <xdr:row>102</xdr:row>
      <xdr:rowOff>19317</xdr:rowOff>
    </xdr:to>
    <xdr:cxnSp macro="">
      <xdr:nvCxnSpPr>
        <xdr:cNvPr id="425" name="Straight Connector 424">
          <a:extLst>
            <a:ext uri="{FF2B5EF4-FFF2-40B4-BE49-F238E27FC236}">
              <a16:creationId xmlns:a16="http://schemas.microsoft.com/office/drawing/2014/main" id="{EF5BB121-E5D0-3846-B5A2-0625126869C9}"/>
            </a:ext>
          </a:extLst>
        </xdr:cNvPr>
        <xdr:cNvCxnSpPr>
          <a:cxnSpLocks/>
        </xdr:cNvCxnSpPr>
      </xdr:nvCxnSpPr>
      <xdr:spPr>
        <a:xfrm>
          <a:off x="5880450" y="13392189"/>
          <a:ext cx="0" cy="3783268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198871</xdr:colOff>
      <xdr:row>102</xdr:row>
      <xdr:rowOff>291136</xdr:rowOff>
    </xdr:from>
    <xdr:to>
      <xdr:col>21</xdr:col>
      <xdr:colOff>198871</xdr:colOff>
      <xdr:row>111</xdr:row>
      <xdr:rowOff>19317</xdr:rowOff>
    </xdr:to>
    <xdr:cxnSp macro="">
      <xdr:nvCxnSpPr>
        <xdr:cNvPr id="426" name="Straight Connector 425">
          <a:extLst>
            <a:ext uri="{FF2B5EF4-FFF2-40B4-BE49-F238E27FC236}">
              <a16:creationId xmlns:a16="http://schemas.microsoft.com/office/drawing/2014/main" id="{CD0C3621-B277-A54F-BA73-54178F29CFB9}"/>
            </a:ext>
          </a:extLst>
        </xdr:cNvPr>
        <xdr:cNvCxnSpPr>
          <a:cxnSpLocks/>
        </xdr:cNvCxnSpPr>
      </xdr:nvCxnSpPr>
      <xdr:spPr>
        <a:xfrm>
          <a:off x="5880450" y="17447276"/>
          <a:ext cx="0" cy="2535550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112891</xdr:colOff>
      <xdr:row>102</xdr:row>
      <xdr:rowOff>42333</xdr:rowOff>
    </xdr:from>
    <xdr:to>
      <xdr:col>21</xdr:col>
      <xdr:colOff>239891</xdr:colOff>
      <xdr:row>102</xdr:row>
      <xdr:rowOff>282222</xdr:rowOff>
    </xdr:to>
    <xdr:sp macro="" textlink="">
      <xdr:nvSpPr>
        <xdr:cNvPr id="427" name="Rectangle 426">
          <a:extLst>
            <a:ext uri="{FF2B5EF4-FFF2-40B4-BE49-F238E27FC236}">
              <a16:creationId xmlns:a16="http://schemas.microsoft.com/office/drawing/2014/main" id="{EBC0DA4B-8D91-5342-ACD9-DB6CBA4BB8FF}"/>
            </a:ext>
          </a:extLst>
        </xdr:cNvPr>
        <xdr:cNvSpPr/>
      </xdr:nvSpPr>
      <xdr:spPr>
        <a:xfrm>
          <a:off x="5794470" y="17198473"/>
          <a:ext cx="127000" cy="23988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112891</xdr:colOff>
      <xdr:row>89</xdr:row>
      <xdr:rowOff>42333</xdr:rowOff>
    </xdr:from>
    <xdr:to>
      <xdr:col>21</xdr:col>
      <xdr:colOff>239891</xdr:colOff>
      <xdr:row>89</xdr:row>
      <xdr:rowOff>282222</xdr:rowOff>
    </xdr:to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C3331A40-BB3F-E24D-BECF-3A24DD608FB6}"/>
            </a:ext>
          </a:extLst>
        </xdr:cNvPr>
        <xdr:cNvSpPr/>
      </xdr:nvSpPr>
      <xdr:spPr>
        <a:xfrm>
          <a:off x="5794470" y="13143386"/>
          <a:ext cx="127000" cy="239889"/>
        </a:xfrm>
        <a:prstGeom prst="rect">
          <a:avLst/>
        </a:prstGeom>
        <a:solidFill>
          <a:srgbClr val="FFFF00"/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FF00"/>
            </a:solidFill>
          </a:endParaRPr>
        </a:p>
      </xdr:txBody>
    </xdr:sp>
    <xdr:clientData/>
  </xdr:twoCellAnchor>
  <xdr:twoCellAnchor>
    <xdr:from>
      <xdr:col>21</xdr:col>
      <xdr:colOff>112891</xdr:colOff>
      <xdr:row>111</xdr:row>
      <xdr:rowOff>42333</xdr:rowOff>
    </xdr:from>
    <xdr:to>
      <xdr:col>21</xdr:col>
      <xdr:colOff>239891</xdr:colOff>
      <xdr:row>111</xdr:row>
      <xdr:rowOff>282222</xdr:rowOff>
    </xdr:to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98DDE0E5-61CF-B149-A839-39F4856DBC30}"/>
            </a:ext>
          </a:extLst>
        </xdr:cNvPr>
        <xdr:cNvSpPr/>
      </xdr:nvSpPr>
      <xdr:spPr>
        <a:xfrm>
          <a:off x="5794470" y="20005842"/>
          <a:ext cx="127000" cy="239889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198871</xdr:colOff>
      <xdr:row>89</xdr:row>
      <xdr:rowOff>291136</xdr:rowOff>
    </xdr:from>
    <xdr:to>
      <xdr:col>24</xdr:col>
      <xdr:colOff>198871</xdr:colOff>
      <xdr:row>102</xdr:row>
      <xdr:rowOff>19317</xdr:rowOff>
    </xdr:to>
    <xdr:cxnSp macro="">
      <xdr:nvCxnSpPr>
        <xdr:cNvPr id="430" name="Straight Connector 429">
          <a:extLst>
            <a:ext uri="{FF2B5EF4-FFF2-40B4-BE49-F238E27FC236}">
              <a16:creationId xmlns:a16="http://schemas.microsoft.com/office/drawing/2014/main" id="{13F6140F-EE27-414A-9096-211B0D266FE7}"/>
            </a:ext>
          </a:extLst>
        </xdr:cNvPr>
        <xdr:cNvCxnSpPr>
          <a:cxnSpLocks/>
        </xdr:cNvCxnSpPr>
      </xdr:nvCxnSpPr>
      <xdr:spPr>
        <a:xfrm>
          <a:off x="5880450" y="13392189"/>
          <a:ext cx="0" cy="3783268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198871</xdr:colOff>
      <xdr:row>102</xdr:row>
      <xdr:rowOff>291136</xdr:rowOff>
    </xdr:from>
    <xdr:to>
      <xdr:col>24</xdr:col>
      <xdr:colOff>198871</xdr:colOff>
      <xdr:row>111</xdr:row>
      <xdr:rowOff>19317</xdr:rowOff>
    </xdr:to>
    <xdr:cxnSp macro="">
      <xdr:nvCxnSpPr>
        <xdr:cNvPr id="431" name="Straight Connector 430">
          <a:extLst>
            <a:ext uri="{FF2B5EF4-FFF2-40B4-BE49-F238E27FC236}">
              <a16:creationId xmlns:a16="http://schemas.microsoft.com/office/drawing/2014/main" id="{DC13B91D-8F97-2E41-A2EA-B974E35E111A}"/>
            </a:ext>
          </a:extLst>
        </xdr:cNvPr>
        <xdr:cNvCxnSpPr>
          <a:cxnSpLocks/>
        </xdr:cNvCxnSpPr>
      </xdr:nvCxnSpPr>
      <xdr:spPr>
        <a:xfrm>
          <a:off x="5880450" y="17447276"/>
          <a:ext cx="0" cy="2535550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112891</xdr:colOff>
      <xdr:row>102</xdr:row>
      <xdr:rowOff>42333</xdr:rowOff>
    </xdr:from>
    <xdr:to>
      <xdr:col>24</xdr:col>
      <xdr:colOff>239891</xdr:colOff>
      <xdr:row>102</xdr:row>
      <xdr:rowOff>282222</xdr:rowOff>
    </xdr:to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18A5FE87-CC23-6B41-961D-2EE46C47FCA6}"/>
            </a:ext>
          </a:extLst>
        </xdr:cNvPr>
        <xdr:cNvSpPr/>
      </xdr:nvSpPr>
      <xdr:spPr>
        <a:xfrm>
          <a:off x="5794470" y="17198473"/>
          <a:ext cx="127000" cy="23988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112891</xdr:colOff>
      <xdr:row>89</xdr:row>
      <xdr:rowOff>42333</xdr:rowOff>
    </xdr:from>
    <xdr:to>
      <xdr:col>24</xdr:col>
      <xdr:colOff>239891</xdr:colOff>
      <xdr:row>89</xdr:row>
      <xdr:rowOff>282222</xdr:rowOff>
    </xdr:to>
    <xdr:sp macro="" textlink="">
      <xdr:nvSpPr>
        <xdr:cNvPr id="433" name="Rectangle 432">
          <a:extLst>
            <a:ext uri="{FF2B5EF4-FFF2-40B4-BE49-F238E27FC236}">
              <a16:creationId xmlns:a16="http://schemas.microsoft.com/office/drawing/2014/main" id="{7D515B38-834E-9B4C-B826-41EBF78AB197}"/>
            </a:ext>
          </a:extLst>
        </xdr:cNvPr>
        <xdr:cNvSpPr/>
      </xdr:nvSpPr>
      <xdr:spPr>
        <a:xfrm>
          <a:off x="5794470" y="13143386"/>
          <a:ext cx="127000" cy="239889"/>
        </a:xfrm>
        <a:prstGeom prst="rect">
          <a:avLst/>
        </a:prstGeom>
        <a:solidFill>
          <a:srgbClr val="FFFF00"/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FF00"/>
            </a:solidFill>
          </a:endParaRPr>
        </a:p>
      </xdr:txBody>
    </xdr:sp>
    <xdr:clientData/>
  </xdr:twoCellAnchor>
  <xdr:twoCellAnchor>
    <xdr:from>
      <xdr:col>24</xdr:col>
      <xdr:colOff>112891</xdr:colOff>
      <xdr:row>111</xdr:row>
      <xdr:rowOff>42333</xdr:rowOff>
    </xdr:from>
    <xdr:to>
      <xdr:col>24</xdr:col>
      <xdr:colOff>239891</xdr:colOff>
      <xdr:row>111</xdr:row>
      <xdr:rowOff>282222</xdr:rowOff>
    </xdr:to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EAB3FFE8-744B-A649-8D54-4F49BA8AF61C}"/>
            </a:ext>
          </a:extLst>
        </xdr:cNvPr>
        <xdr:cNvSpPr/>
      </xdr:nvSpPr>
      <xdr:spPr>
        <a:xfrm>
          <a:off x="5794470" y="20005842"/>
          <a:ext cx="127000" cy="239889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112891</xdr:colOff>
      <xdr:row>81</xdr:row>
      <xdr:rowOff>42333</xdr:rowOff>
    </xdr:from>
    <xdr:to>
      <xdr:col>15</xdr:col>
      <xdr:colOff>239891</xdr:colOff>
      <xdr:row>81</xdr:row>
      <xdr:rowOff>282222</xdr:rowOff>
    </xdr:to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C708470F-E4C0-E840-A86F-5BBB65631219}"/>
            </a:ext>
          </a:extLst>
        </xdr:cNvPr>
        <xdr:cNvSpPr/>
      </xdr:nvSpPr>
      <xdr:spPr>
        <a:xfrm>
          <a:off x="16804320" y="22011684"/>
          <a:ext cx="127000" cy="239889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112891</xdr:colOff>
      <xdr:row>81</xdr:row>
      <xdr:rowOff>42333</xdr:rowOff>
    </xdr:from>
    <xdr:to>
      <xdr:col>18</xdr:col>
      <xdr:colOff>239891</xdr:colOff>
      <xdr:row>81</xdr:row>
      <xdr:rowOff>282222</xdr:rowOff>
    </xdr:to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2691694E-F96F-0743-9C4B-01C36F98A22E}"/>
            </a:ext>
          </a:extLst>
        </xdr:cNvPr>
        <xdr:cNvSpPr/>
      </xdr:nvSpPr>
      <xdr:spPr>
        <a:xfrm>
          <a:off x="17892891" y="22011684"/>
          <a:ext cx="127000" cy="239889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112891</xdr:colOff>
      <xdr:row>81</xdr:row>
      <xdr:rowOff>42333</xdr:rowOff>
    </xdr:from>
    <xdr:to>
      <xdr:col>21</xdr:col>
      <xdr:colOff>239891</xdr:colOff>
      <xdr:row>81</xdr:row>
      <xdr:rowOff>282222</xdr:rowOff>
    </xdr:to>
    <xdr:sp macro="" textlink="">
      <xdr:nvSpPr>
        <xdr:cNvPr id="491" name="Rectangle 490">
          <a:extLst>
            <a:ext uri="{FF2B5EF4-FFF2-40B4-BE49-F238E27FC236}">
              <a16:creationId xmlns:a16="http://schemas.microsoft.com/office/drawing/2014/main" id="{65B0735A-ACF7-0444-BCA6-A80C4523533C}"/>
            </a:ext>
          </a:extLst>
        </xdr:cNvPr>
        <xdr:cNvSpPr/>
      </xdr:nvSpPr>
      <xdr:spPr>
        <a:xfrm>
          <a:off x="18981462" y="22011684"/>
          <a:ext cx="127000" cy="239889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112891</xdr:colOff>
      <xdr:row>81</xdr:row>
      <xdr:rowOff>42333</xdr:rowOff>
    </xdr:from>
    <xdr:to>
      <xdr:col>24</xdr:col>
      <xdr:colOff>239891</xdr:colOff>
      <xdr:row>81</xdr:row>
      <xdr:rowOff>282222</xdr:rowOff>
    </xdr:to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B9EAE4EB-5FDA-4649-9F57-E17CE1CB57BF}"/>
            </a:ext>
          </a:extLst>
        </xdr:cNvPr>
        <xdr:cNvSpPr/>
      </xdr:nvSpPr>
      <xdr:spPr>
        <a:xfrm>
          <a:off x="20070034" y="22011684"/>
          <a:ext cx="127000" cy="239889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112891</xdr:colOff>
      <xdr:row>81</xdr:row>
      <xdr:rowOff>42333</xdr:rowOff>
    </xdr:from>
    <xdr:to>
      <xdr:col>28</xdr:col>
      <xdr:colOff>239891</xdr:colOff>
      <xdr:row>81</xdr:row>
      <xdr:rowOff>282222</xdr:rowOff>
    </xdr:to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08C8846A-FE74-394A-BD38-53D3E8EC51CF}"/>
            </a:ext>
          </a:extLst>
        </xdr:cNvPr>
        <xdr:cNvSpPr/>
      </xdr:nvSpPr>
      <xdr:spPr>
        <a:xfrm>
          <a:off x="16804320" y="24683632"/>
          <a:ext cx="127000" cy="239889"/>
        </a:xfrm>
        <a:prstGeom prst="rect">
          <a:avLst/>
        </a:prstGeom>
        <a:solidFill>
          <a:srgbClr val="FFFF00"/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FF00"/>
            </a:solidFill>
          </a:endParaRPr>
        </a:p>
      </xdr:txBody>
    </xdr:sp>
    <xdr:clientData/>
  </xdr:twoCellAnchor>
  <xdr:twoCellAnchor>
    <xdr:from>
      <xdr:col>31</xdr:col>
      <xdr:colOff>112891</xdr:colOff>
      <xdr:row>81</xdr:row>
      <xdr:rowOff>42333</xdr:rowOff>
    </xdr:from>
    <xdr:to>
      <xdr:col>31</xdr:col>
      <xdr:colOff>239891</xdr:colOff>
      <xdr:row>81</xdr:row>
      <xdr:rowOff>282222</xdr:rowOff>
    </xdr:to>
    <xdr:sp macro="" textlink="">
      <xdr:nvSpPr>
        <xdr:cNvPr id="495" name="Rectangle 494">
          <a:extLst>
            <a:ext uri="{FF2B5EF4-FFF2-40B4-BE49-F238E27FC236}">
              <a16:creationId xmlns:a16="http://schemas.microsoft.com/office/drawing/2014/main" id="{A04694C7-3928-8F40-A157-C47BC8B65242}"/>
            </a:ext>
          </a:extLst>
        </xdr:cNvPr>
        <xdr:cNvSpPr/>
      </xdr:nvSpPr>
      <xdr:spPr>
        <a:xfrm>
          <a:off x="16804320" y="24683632"/>
          <a:ext cx="127000" cy="239889"/>
        </a:xfrm>
        <a:prstGeom prst="rect">
          <a:avLst/>
        </a:prstGeom>
        <a:solidFill>
          <a:srgbClr val="FFFF00"/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FF00"/>
            </a:solidFill>
          </a:endParaRPr>
        </a:p>
      </xdr:txBody>
    </xdr:sp>
    <xdr:clientData/>
  </xdr:twoCellAnchor>
  <xdr:twoCellAnchor>
    <xdr:from>
      <xdr:col>34</xdr:col>
      <xdr:colOff>112891</xdr:colOff>
      <xdr:row>81</xdr:row>
      <xdr:rowOff>42333</xdr:rowOff>
    </xdr:from>
    <xdr:to>
      <xdr:col>34</xdr:col>
      <xdr:colOff>239891</xdr:colOff>
      <xdr:row>81</xdr:row>
      <xdr:rowOff>282222</xdr:rowOff>
    </xdr:to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70BC8138-A4D2-B24E-8F79-A2F96BC7CBD1}"/>
            </a:ext>
          </a:extLst>
        </xdr:cNvPr>
        <xdr:cNvSpPr/>
      </xdr:nvSpPr>
      <xdr:spPr>
        <a:xfrm>
          <a:off x="16804320" y="24683632"/>
          <a:ext cx="127000" cy="239889"/>
        </a:xfrm>
        <a:prstGeom prst="rect">
          <a:avLst/>
        </a:prstGeom>
        <a:solidFill>
          <a:srgbClr val="FFFF00"/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FF00"/>
            </a:solidFill>
          </a:endParaRPr>
        </a:p>
      </xdr:txBody>
    </xdr:sp>
    <xdr:clientData/>
  </xdr:twoCellAnchor>
  <xdr:twoCellAnchor>
    <xdr:from>
      <xdr:col>37</xdr:col>
      <xdr:colOff>112891</xdr:colOff>
      <xdr:row>81</xdr:row>
      <xdr:rowOff>42333</xdr:rowOff>
    </xdr:from>
    <xdr:to>
      <xdr:col>37</xdr:col>
      <xdr:colOff>239891</xdr:colOff>
      <xdr:row>81</xdr:row>
      <xdr:rowOff>282222</xdr:rowOff>
    </xdr:to>
    <xdr:sp macro="" textlink="">
      <xdr:nvSpPr>
        <xdr:cNvPr id="497" name="Rectangle 496">
          <a:extLst>
            <a:ext uri="{FF2B5EF4-FFF2-40B4-BE49-F238E27FC236}">
              <a16:creationId xmlns:a16="http://schemas.microsoft.com/office/drawing/2014/main" id="{0D79BC15-4E66-8F4E-9CD6-E42F60A3935F}"/>
            </a:ext>
          </a:extLst>
        </xdr:cNvPr>
        <xdr:cNvSpPr/>
      </xdr:nvSpPr>
      <xdr:spPr>
        <a:xfrm>
          <a:off x="16804320" y="24683632"/>
          <a:ext cx="127000" cy="239889"/>
        </a:xfrm>
        <a:prstGeom prst="rect">
          <a:avLst/>
        </a:prstGeom>
        <a:solidFill>
          <a:srgbClr val="FFFF00"/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FF00"/>
            </a:solidFill>
          </a:endParaRPr>
        </a:p>
      </xdr:txBody>
    </xdr:sp>
    <xdr:clientData/>
  </xdr:twoCellAnchor>
  <xdr:twoCellAnchor>
    <xdr:from>
      <xdr:col>27</xdr:col>
      <xdr:colOff>67489</xdr:colOff>
      <xdr:row>76</xdr:row>
      <xdr:rowOff>36812</xdr:rowOff>
    </xdr:from>
    <xdr:to>
      <xdr:col>27</xdr:col>
      <xdr:colOff>309222</xdr:colOff>
      <xdr:row>77</xdr:row>
      <xdr:rowOff>1868</xdr:rowOff>
    </xdr:to>
    <xdr:sp macro="" textlink="">
      <xdr:nvSpPr>
        <xdr:cNvPr id="499" name="Oval 498">
          <a:extLst>
            <a:ext uri="{FF2B5EF4-FFF2-40B4-BE49-F238E27FC236}">
              <a16:creationId xmlns:a16="http://schemas.microsoft.com/office/drawing/2014/main" id="{ACC266B6-866E-5F49-968A-B4978846707E}"/>
            </a:ext>
          </a:extLst>
        </xdr:cNvPr>
        <xdr:cNvSpPr/>
      </xdr:nvSpPr>
      <xdr:spPr>
        <a:xfrm>
          <a:off x="10006619" y="23350822"/>
          <a:ext cx="241733" cy="271819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67489</xdr:colOff>
      <xdr:row>77</xdr:row>
      <xdr:rowOff>36812</xdr:rowOff>
    </xdr:from>
    <xdr:to>
      <xdr:col>27</xdr:col>
      <xdr:colOff>309222</xdr:colOff>
      <xdr:row>78</xdr:row>
      <xdr:rowOff>1868</xdr:rowOff>
    </xdr:to>
    <xdr:sp macro="" textlink="">
      <xdr:nvSpPr>
        <xdr:cNvPr id="501" name="Oval 500">
          <a:extLst>
            <a:ext uri="{FF2B5EF4-FFF2-40B4-BE49-F238E27FC236}">
              <a16:creationId xmlns:a16="http://schemas.microsoft.com/office/drawing/2014/main" id="{BC8ED00C-4B9A-9543-9EED-41B074AE0D3E}"/>
            </a:ext>
          </a:extLst>
        </xdr:cNvPr>
        <xdr:cNvSpPr/>
      </xdr:nvSpPr>
      <xdr:spPr>
        <a:xfrm>
          <a:off x="10006619" y="23657585"/>
          <a:ext cx="241733" cy="271819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67489</xdr:colOff>
      <xdr:row>78</xdr:row>
      <xdr:rowOff>36812</xdr:rowOff>
    </xdr:from>
    <xdr:to>
      <xdr:col>27</xdr:col>
      <xdr:colOff>309222</xdr:colOff>
      <xdr:row>79</xdr:row>
      <xdr:rowOff>1867</xdr:rowOff>
    </xdr:to>
    <xdr:sp macro="" textlink="">
      <xdr:nvSpPr>
        <xdr:cNvPr id="502" name="Oval 501">
          <a:extLst>
            <a:ext uri="{FF2B5EF4-FFF2-40B4-BE49-F238E27FC236}">
              <a16:creationId xmlns:a16="http://schemas.microsoft.com/office/drawing/2014/main" id="{3AF77A7D-9D3C-2D49-97B5-EBE9A9034222}"/>
            </a:ext>
          </a:extLst>
        </xdr:cNvPr>
        <xdr:cNvSpPr/>
      </xdr:nvSpPr>
      <xdr:spPr>
        <a:xfrm>
          <a:off x="10006619" y="23964348"/>
          <a:ext cx="241733" cy="271819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67489</xdr:colOff>
      <xdr:row>79</xdr:row>
      <xdr:rowOff>36812</xdr:rowOff>
    </xdr:from>
    <xdr:to>
      <xdr:col>27</xdr:col>
      <xdr:colOff>309222</xdr:colOff>
      <xdr:row>80</xdr:row>
      <xdr:rowOff>1868</xdr:rowOff>
    </xdr:to>
    <xdr:sp macro="" textlink="">
      <xdr:nvSpPr>
        <xdr:cNvPr id="503" name="Oval 502">
          <a:extLst>
            <a:ext uri="{FF2B5EF4-FFF2-40B4-BE49-F238E27FC236}">
              <a16:creationId xmlns:a16="http://schemas.microsoft.com/office/drawing/2014/main" id="{2C31839B-1EE4-2D42-8727-1575DC5CEC5F}"/>
            </a:ext>
          </a:extLst>
        </xdr:cNvPr>
        <xdr:cNvSpPr/>
      </xdr:nvSpPr>
      <xdr:spPr>
        <a:xfrm>
          <a:off x="10006619" y="24271112"/>
          <a:ext cx="241733" cy="271819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176391</xdr:colOff>
      <xdr:row>76</xdr:row>
      <xdr:rowOff>172723</xdr:rowOff>
    </xdr:from>
    <xdr:to>
      <xdr:col>27</xdr:col>
      <xdr:colOff>67489</xdr:colOff>
      <xdr:row>81</xdr:row>
      <xdr:rowOff>42334</xdr:rowOff>
    </xdr:to>
    <xdr:cxnSp macro="">
      <xdr:nvCxnSpPr>
        <xdr:cNvPr id="509" name="Curved Connector 508">
          <a:extLst>
            <a:ext uri="{FF2B5EF4-FFF2-40B4-BE49-F238E27FC236}">
              <a16:creationId xmlns:a16="http://schemas.microsoft.com/office/drawing/2014/main" id="{C31BA0D1-58E5-EA37-1E91-33F3FFF9CA97}"/>
            </a:ext>
          </a:extLst>
        </xdr:cNvPr>
        <xdr:cNvCxnSpPr>
          <a:stCxn id="489" idx="0"/>
          <a:endCxn id="499" idx="2"/>
        </xdr:cNvCxnSpPr>
      </xdr:nvCxnSpPr>
      <xdr:spPr>
        <a:xfrm rot="5400000" flipH="1" flipV="1">
          <a:off x="7150661" y="22034202"/>
          <a:ext cx="1403427" cy="4308489"/>
        </a:xfrm>
        <a:prstGeom prst="curvedConnector2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176390</xdr:colOff>
      <xdr:row>77</xdr:row>
      <xdr:rowOff>172723</xdr:rowOff>
    </xdr:from>
    <xdr:to>
      <xdr:col>27</xdr:col>
      <xdr:colOff>67488</xdr:colOff>
      <xdr:row>81</xdr:row>
      <xdr:rowOff>42334</xdr:rowOff>
    </xdr:to>
    <xdr:cxnSp macro="">
      <xdr:nvCxnSpPr>
        <xdr:cNvPr id="510" name="Curved Connector 509">
          <a:extLst>
            <a:ext uri="{FF2B5EF4-FFF2-40B4-BE49-F238E27FC236}">
              <a16:creationId xmlns:a16="http://schemas.microsoft.com/office/drawing/2014/main" id="{6F5B6208-36EC-7944-9F81-430D8338E48E}"/>
            </a:ext>
          </a:extLst>
        </xdr:cNvPr>
        <xdr:cNvCxnSpPr>
          <a:stCxn id="490" idx="0"/>
          <a:endCxn id="501" idx="2"/>
        </xdr:cNvCxnSpPr>
      </xdr:nvCxnSpPr>
      <xdr:spPr>
        <a:xfrm rot="5400000" flipH="1" flipV="1">
          <a:off x="7856216" y="22739757"/>
          <a:ext cx="1096664" cy="3204141"/>
        </a:xfrm>
        <a:prstGeom prst="curvedConnector2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176391</xdr:colOff>
      <xdr:row>78</xdr:row>
      <xdr:rowOff>172723</xdr:rowOff>
    </xdr:from>
    <xdr:to>
      <xdr:col>27</xdr:col>
      <xdr:colOff>67489</xdr:colOff>
      <xdr:row>81</xdr:row>
      <xdr:rowOff>42334</xdr:rowOff>
    </xdr:to>
    <xdr:cxnSp macro="">
      <xdr:nvCxnSpPr>
        <xdr:cNvPr id="513" name="Curved Connector 512">
          <a:extLst>
            <a:ext uri="{FF2B5EF4-FFF2-40B4-BE49-F238E27FC236}">
              <a16:creationId xmlns:a16="http://schemas.microsoft.com/office/drawing/2014/main" id="{65E9AA33-E77A-1C4C-8361-D8A8CA62DC43}"/>
            </a:ext>
          </a:extLst>
        </xdr:cNvPr>
        <xdr:cNvCxnSpPr>
          <a:stCxn id="491" idx="0"/>
          <a:endCxn id="502" idx="2"/>
        </xdr:cNvCxnSpPr>
      </xdr:nvCxnSpPr>
      <xdr:spPr>
        <a:xfrm rot="5400000" flipH="1" flipV="1">
          <a:off x="8561772" y="23445313"/>
          <a:ext cx="789901" cy="2099793"/>
        </a:xfrm>
        <a:prstGeom prst="curvedConnector2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176391</xdr:colOff>
      <xdr:row>79</xdr:row>
      <xdr:rowOff>172723</xdr:rowOff>
    </xdr:from>
    <xdr:to>
      <xdr:col>27</xdr:col>
      <xdr:colOff>67489</xdr:colOff>
      <xdr:row>81</xdr:row>
      <xdr:rowOff>42334</xdr:rowOff>
    </xdr:to>
    <xdr:cxnSp macro="">
      <xdr:nvCxnSpPr>
        <xdr:cNvPr id="516" name="Curved Connector 515">
          <a:extLst>
            <a:ext uri="{FF2B5EF4-FFF2-40B4-BE49-F238E27FC236}">
              <a16:creationId xmlns:a16="http://schemas.microsoft.com/office/drawing/2014/main" id="{76DFE582-36FD-7642-8354-9E0783CCE5CC}"/>
            </a:ext>
          </a:extLst>
        </xdr:cNvPr>
        <xdr:cNvCxnSpPr>
          <a:stCxn id="492" idx="0"/>
          <a:endCxn id="503" idx="2"/>
        </xdr:cNvCxnSpPr>
      </xdr:nvCxnSpPr>
      <xdr:spPr>
        <a:xfrm rot="5400000" flipH="1" flipV="1">
          <a:off x="9267328" y="24150869"/>
          <a:ext cx="483137" cy="995445"/>
        </a:xfrm>
        <a:prstGeom prst="curvedConnector2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309222</xdr:colOff>
      <xdr:row>79</xdr:row>
      <xdr:rowOff>172722</xdr:rowOff>
    </xdr:from>
    <xdr:to>
      <xdr:col>28</xdr:col>
      <xdr:colOff>176391</xdr:colOff>
      <xdr:row>81</xdr:row>
      <xdr:rowOff>42333</xdr:rowOff>
    </xdr:to>
    <xdr:cxnSp macro="">
      <xdr:nvCxnSpPr>
        <xdr:cNvPr id="519" name="Curved Connector 518">
          <a:extLst>
            <a:ext uri="{FF2B5EF4-FFF2-40B4-BE49-F238E27FC236}">
              <a16:creationId xmlns:a16="http://schemas.microsoft.com/office/drawing/2014/main" id="{48198C4F-FCA9-C243-BC89-DF7D932C435F}"/>
            </a:ext>
          </a:extLst>
        </xdr:cNvPr>
        <xdr:cNvCxnSpPr>
          <a:stCxn id="503" idx="6"/>
          <a:endCxn id="494" idx="0"/>
        </xdr:cNvCxnSpPr>
      </xdr:nvCxnSpPr>
      <xdr:spPr>
        <a:xfrm>
          <a:off x="10248352" y="24407022"/>
          <a:ext cx="235285" cy="483137"/>
        </a:xfrm>
        <a:prstGeom prst="curvedConnector2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309222</xdr:colOff>
      <xdr:row>78</xdr:row>
      <xdr:rowOff>172722</xdr:rowOff>
    </xdr:from>
    <xdr:to>
      <xdr:col>28</xdr:col>
      <xdr:colOff>176391</xdr:colOff>
      <xdr:row>81</xdr:row>
      <xdr:rowOff>42333</xdr:rowOff>
    </xdr:to>
    <xdr:cxnSp macro="">
      <xdr:nvCxnSpPr>
        <xdr:cNvPr id="523" name="Curved Connector 522">
          <a:extLst>
            <a:ext uri="{FF2B5EF4-FFF2-40B4-BE49-F238E27FC236}">
              <a16:creationId xmlns:a16="http://schemas.microsoft.com/office/drawing/2014/main" id="{AC386CB0-0BA0-5F46-6172-7D71BC925C7B}"/>
            </a:ext>
          </a:extLst>
        </xdr:cNvPr>
        <xdr:cNvCxnSpPr>
          <a:stCxn id="502" idx="6"/>
          <a:endCxn id="494" idx="0"/>
        </xdr:cNvCxnSpPr>
      </xdr:nvCxnSpPr>
      <xdr:spPr>
        <a:xfrm>
          <a:off x="10248352" y="24100258"/>
          <a:ext cx="235285" cy="789901"/>
        </a:xfrm>
        <a:prstGeom prst="curvedConnector2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309222</xdr:colOff>
      <xdr:row>77</xdr:row>
      <xdr:rowOff>172722</xdr:rowOff>
    </xdr:from>
    <xdr:to>
      <xdr:col>28</xdr:col>
      <xdr:colOff>176391</xdr:colOff>
      <xdr:row>81</xdr:row>
      <xdr:rowOff>42333</xdr:rowOff>
    </xdr:to>
    <xdr:cxnSp macro="">
      <xdr:nvCxnSpPr>
        <xdr:cNvPr id="526" name="Curved Connector 525">
          <a:extLst>
            <a:ext uri="{FF2B5EF4-FFF2-40B4-BE49-F238E27FC236}">
              <a16:creationId xmlns:a16="http://schemas.microsoft.com/office/drawing/2014/main" id="{7DC2EF1E-66DF-F1E7-1C5A-5BFCFCEA6DBC}"/>
            </a:ext>
          </a:extLst>
        </xdr:cNvPr>
        <xdr:cNvCxnSpPr>
          <a:stCxn id="501" idx="6"/>
          <a:endCxn id="494" idx="0"/>
        </xdr:cNvCxnSpPr>
      </xdr:nvCxnSpPr>
      <xdr:spPr>
        <a:xfrm>
          <a:off x="10248352" y="23793495"/>
          <a:ext cx="235285" cy="1096664"/>
        </a:xfrm>
        <a:prstGeom prst="curvedConnector2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309222</xdr:colOff>
      <xdr:row>76</xdr:row>
      <xdr:rowOff>172722</xdr:rowOff>
    </xdr:from>
    <xdr:to>
      <xdr:col>28</xdr:col>
      <xdr:colOff>176391</xdr:colOff>
      <xdr:row>81</xdr:row>
      <xdr:rowOff>42333</xdr:rowOff>
    </xdr:to>
    <xdr:cxnSp macro="">
      <xdr:nvCxnSpPr>
        <xdr:cNvPr id="529" name="Curved Connector 528">
          <a:extLst>
            <a:ext uri="{FF2B5EF4-FFF2-40B4-BE49-F238E27FC236}">
              <a16:creationId xmlns:a16="http://schemas.microsoft.com/office/drawing/2014/main" id="{F94D35F3-B526-B5C0-9181-408241F17804}"/>
            </a:ext>
          </a:extLst>
        </xdr:cNvPr>
        <xdr:cNvCxnSpPr>
          <a:stCxn id="499" idx="6"/>
          <a:endCxn id="494" idx="0"/>
        </xdr:cNvCxnSpPr>
      </xdr:nvCxnSpPr>
      <xdr:spPr>
        <a:xfrm>
          <a:off x="10248352" y="23486732"/>
          <a:ext cx="235285" cy="1403427"/>
        </a:xfrm>
        <a:prstGeom prst="curvedConnector2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211667</xdr:colOff>
      <xdr:row>28</xdr:row>
      <xdr:rowOff>13230</xdr:rowOff>
    </xdr:from>
    <xdr:to>
      <xdr:col>21</xdr:col>
      <xdr:colOff>119063</xdr:colOff>
      <xdr:row>33</xdr:row>
      <xdr:rowOff>79375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CED4F45B-64BE-C06E-9C35-D9167A2715D7}"/>
            </a:ext>
          </a:extLst>
        </xdr:cNvPr>
        <xdr:cNvSpPr/>
      </xdr:nvSpPr>
      <xdr:spPr>
        <a:xfrm>
          <a:off x="3545417" y="8532813"/>
          <a:ext cx="1759479" cy="1587500"/>
        </a:xfrm>
        <a:prstGeom prst="rect">
          <a:avLst/>
        </a:prstGeom>
        <a:noFill/>
        <a:ln>
          <a:prstDash val="sysDot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245005</xdr:colOff>
      <xdr:row>18</xdr:row>
      <xdr:rowOff>112713</xdr:rowOff>
    </xdr:from>
    <xdr:to>
      <xdr:col>38</xdr:col>
      <xdr:colOff>152400</xdr:colOff>
      <xdr:row>23</xdr:row>
      <xdr:rowOff>178859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5A09305F-34D7-8D43-AEA0-234DE70FDA7A}"/>
            </a:ext>
          </a:extLst>
        </xdr:cNvPr>
        <xdr:cNvSpPr/>
      </xdr:nvSpPr>
      <xdr:spPr>
        <a:xfrm>
          <a:off x="9875838" y="5589588"/>
          <a:ext cx="1759479" cy="1587500"/>
        </a:xfrm>
        <a:prstGeom prst="rect">
          <a:avLst/>
        </a:prstGeom>
        <a:noFill/>
        <a:ln>
          <a:prstDash val="sysDot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350575</xdr:colOff>
      <xdr:row>23</xdr:row>
      <xdr:rowOff>178859</xdr:rowOff>
    </xdr:from>
    <xdr:to>
      <xdr:col>36</xdr:col>
      <xdr:colOff>13496</xdr:colOff>
      <xdr:row>28</xdr:row>
      <xdr:rowOff>13230</xdr:rowOff>
    </xdr:to>
    <xdr:cxnSp macro="">
      <xdr:nvCxnSpPr>
        <xdr:cNvPr id="99" name="Curved Connector 98">
          <a:extLst>
            <a:ext uri="{FF2B5EF4-FFF2-40B4-BE49-F238E27FC236}">
              <a16:creationId xmlns:a16="http://schemas.microsoft.com/office/drawing/2014/main" id="{7F7C3F7F-F697-DD55-A64C-24BB7E514353}"/>
            </a:ext>
          </a:extLst>
        </xdr:cNvPr>
        <xdr:cNvCxnSpPr>
          <a:stCxn id="97" idx="2"/>
          <a:endCxn id="96" idx="0"/>
        </xdr:cNvCxnSpPr>
      </xdr:nvCxnSpPr>
      <xdr:spPr>
        <a:xfrm rot="5400000">
          <a:off x="6912506" y="4689740"/>
          <a:ext cx="1355725" cy="6330421"/>
        </a:xfrm>
        <a:prstGeom prst="curved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238126</xdr:colOff>
      <xdr:row>151</xdr:row>
      <xdr:rowOff>52917</xdr:rowOff>
    </xdr:from>
    <xdr:to>
      <xdr:col>39</xdr:col>
      <xdr:colOff>145521</xdr:colOff>
      <xdr:row>156</xdr:row>
      <xdr:rowOff>119063</xdr:rowOff>
    </xdr:to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EDDB8C5B-A40D-9C45-8B1D-F25AFCAD6951}"/>
            </a:ext>
          </a:extLst>
        </xdr:cNvPr>
        <xdr:cNvSpPr/>
      </xdr:nvSpPr>
      <xdr:spPr>
        <a:xfrm>
          <a:off x="10980209" y="45997813"/>
          <a:ext cx="1759479" cy="1587500"/>
        </a:xfrm>
        <a:prstGeom prst="rect">
          <a:avLst/>
        </a:prstGeom>
        <a:noFill/>
        <a:ln>
          <a:prstDash val="sysDot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238126</xdr:colOff>
      <xdr:row>162</xdr:row>
      <xdr:rowOff>158749</xdr:rowOff>
    </xdr:from>
    <xdr:to>
      <xdr:col>19</xdr:col>
      <xdr:colOff>145522</xdr:colOff>
      <xdr:row>167</xdr:row>
      <xdr:rowOff>224895</xdr:rowOff>
    </xdr:to>
    <xdr:sp macro="" textlink="">
      <xdr:nvSpPr>
        <xdr:cNvPr id="107" name="Rectangle 106">
          <a:extLst>
            <a:ext uri="{FF2B5EF4-FFF2-40B4-BE49-F238E27FC236}">
              <a16:creationId xmlns:a16="http://schemas.microsoft.com/office/drawing/2014/main" id="{2D4ADA7F-2612-A942-B92F-443041399320}"/>
            </a:ext>
          </a:extLst>
        </xdr:cNvPr>
        <xdr:cNvSpPr/>
      </xdr:nvSpPr>
      <xdr:spPr>
        <a:xfrm>
          <a:off x="3571876" y="49450624"/>
          <a:ext cx="1759479" cy="1587500"/>
        </a:xfrm>
        <a:prstGeom prst="rect">
          <a:avLst/>
        </a:prstGeom>
        <a:noFill/>
        <a:ln>
          <a:prstDash val="sysDot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6617</xdr:colOff>
      <xdr:row>156</xdr:row>
      <xdr:rowOff>119063</xdr:rowOff>
    </xdr:from>
    <xdr:to>
      <xdr:col>37</xdr:col>
      <xdr:colOff>6617</xdr:colOff>
      <xdr:row>162</xdr:row>
      <xdr:rowOff>158749</xdr:rowOff>
    </xdr:to>
    <xdr:cxnSp macro="">
      <xdr:nvCxnSpPr>
        <xdr:cNvPr id="108" name="Curved Connector 107">
          <a:extLst>
            <a:ext uri="{FF2B5EF4-FFF2-40B4-BE49-F238E27FC236}">
              <a16:creationId xmlns:a16="http://schemas.microsoft.com/office/drawing/2014/main" id="{4DCA0AC6-6F27-EA43-8E38-0616360B2970}"/>
            </a:ext>
          </a:extLst>
        </xdr:cNvPr>
        <xdr:cNvCxnSpPr>
          <a:stCxn id="106" idx="2"/>
          <a:endCxn id="107" idx="0"/>
        </xdr:cNvCxnSpPr>
      </xdr:nvCxnSpPr>
      <xdr:spPr>
        <a:xfrm rot="5400000">
          <a:off x="7223128" y="44813802"/>
          <a:ext cx="1865311" cy="7408333"/>
        </a:xfrm>
        <a:prstGeom prst="curved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224896</xdr:colOff>
      <xdr:row>175</xdr:row>
      <xdr:rowOff>39685</xdr:rowOff>
    </xdr:from>
    <xdr:to>
      <xdr:col>39</xdr:col>
      <xdr:colOff>132291</xdr:colOff>
      <xdr:row>180</xdr:row>
      <xdr:rowOff>105831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B1C7F40E-293B-8747-BE00-A2EB792890CC}"/>
            </a:ext>
          </a:extLst>
        </xdr:cNvPr>
        <xdr:cNvSpPr/>
      </xdr:nvSpPr>
      <xdr:spPr>
        <a:xfrm>
          <a:off x="10966979" y="53287081"/>
          <a:ext cx="1759479" cy="1587500"/>
        </a:xfrm>
        <a:prstGeom prst="rect">
          <a:avLst/>
        </a:prstGeom>
        <a:noFill/>
        <a:ln>
          <a:prstDash val="sysDot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238125</xdr:colOff>
      <xdr:row>186</xdr:row>
      <xdr:rowOff>145521</xdr:rowOff>
    </xdr:from>
    <xdr:to>
      <xdr:col>19</xdr:col>
      <xdr:colOff>145521</xdr:colOff>
      <xdr:row>191</xdr:row>
      <xdr:rowOff>211667</xdr:rowOff>
    </xdr:to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25A8A128-C6C5-404B-AA9A-15C6ABF2041F}"/>
            </a:ext>
          </a:extLst>
        </xdr:cNvPr>
        <xdr:cNvSpPr/>
      </xdr:nvSpPr>
      <xdr:spPr>
        <a:xfrm>
          <a:off x="3571875" y="56739896"/>
          <a:ext cx="1759479" cy="1587500"/>
        </a:xfrm>
        <a:prstGeom prst="rect">
          <a:avLst/>
        </a:prstGeom>
        <a:noFill/>
        <a:ln>
          <a:prstDash val="sysDot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6616</xdr:colOff>
      <xdr:row>180</xdr:row>
      <xdr:rowOff>105830</xdr:rowOff>
    </xdr:from>
    <xdr:to>
      <xdr:col>36</xdr:col>
      <xdr:colOff>363803</xdr:colOff>
      <xdr:row>186</xdr:row>
      <xdr:rowOff>145520</xdr:rowOff>
    </xdr:to>
    <xdr:cxnSp macro="">
      <xdr:nvCxnSpPr>
        <xdr:cNvPr id="111" name="Curved Connector 110">
          <a:extLst>
            <a:ext uri="{FF2B5EF4-FFF2-40B4-BE49-F238E27FC236}">
              <a16:creationId xmlns:a16="http://schemas.microsoft.com/office/drawing/2014/main" id="{FBDAD6A0-EE35-034B-8D35-A27CF37644B7}"/>
            </a:ext>
          </a:extLst>
        </xdr:cNvPr>
        <xdr:cNvCxnSpPr>
          <a:stCxn id="109" idx="2"/>
          <a:endCxn id="110" idx="0"/>
        </xdr:cNvCxnSpPr>
      </xdr:nvCxnSpPr>
      <xdr:spPr>
        <a:xfrm rot="5400000">
          <a:off x="7216510" y="52109686"/>
          <a:ext cx="1865315" cy="7395104"/>
        </a:xfrm>
        <a:prstGeom prst="curved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145520</xdr:colOff>
      <xdr:row>238</xdr:row>
      <xdr:rowOff>105832</xdr:rowOff>
    </xdr:from>
    <xdr:to>
      <xdr:col>45</xdr:col>
      <xdr:colOff>158749</xdr:colOff>
      <xdr:row>242</xdr:row>
      <xdr:rowOff>238124</xdr:rowOff>
    </xdr:to>
    <xdr:sp macro="" textlink="">
      <xdr:nvSpPr>
        <xdr:cNvPr id="115" name="Rectangle 114">
          <a:extLst>
            <a:ext uri="{FF2B5EF4-FFF2-40B4-BE49-F238E27FC236}">
              <a16:creationId xmlns:a16="http://schemas.microsoft.com/office/drawing/2014/main" id="{8BBA326F-E869-F944-A4CB-A864459D496E}"/>
            </a:ext>
          </a:extLst>
        </xdr:cNvPr>
        <xdr:cNvSpPr/>
      </xdr:nvSpPr>
      <xdr:spPr>
        <a:xfrm>
          <a:off x="11628437" y="70088124"/>
          <a:ext cx="2606145" cy="1349375"/>
        </a:xfrm>
        <a:prstGeom prst="rect">
          <a:avLst/>
        </a:prstGeom>
        <a:noFill/>
        <a:ln>
          <a:prstDash val="sysDot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158750</xdr:colOff>
      <xdr:row>246</xdr:row>
      <xdr:rowOff>66146</xdr:rowOff>
    </xdr:from>
    <xdr:to>
      <xdr:col>22</xdr:col>
      <xdr:colOff>171978</xdr:colOff>
      <xdr:row>250</xdr:row>
      <xdr:rowOff>198437</xdr:rowOff>
    </xdr:to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7F05B5DC-C22E-B74D-84F6-51712EE01400}"/>
            </a:ext>
          </a:extLst>
        </xdr:cNvPr>
        <xdr:cNvSpPr/>
      </xdr:nvSpPr>
      <xdr:spPr>
        <a:xfrm>
          <a:off x="3122083" y="72482604"/>
          <a:ext cx="2606145" cy="1349375"/>
        </a:xfrm>
        <a:prstGeom prst="rect">
          <a:avLst/>
        </a:prstGeom>
        <a:noFill/>
        <a:ln>
          <a:prstDash val="sysDot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350574</xdr:colOff>
      <xdr:row>242</xdr:row>
      <xdr:rowOff>238123</xdr:rowOff>
    </xdr:from>
    <xdr:to>
      <xdr:col>41</xdr:col>
      <xdr:colOff>337344</xdr:colOff>
      <xdr:row>246</xdr:row>
      <xdr:rowOff>66145</xdr:rowOff>
    </xdr:to>
    <xdr:cxnSp macro="">
      <xdr:nvCxnSpPr>
        <xdr:cNvPr id="118" name="Curved Connector 117">
          <a:extLst>
            <a:ext uri="{FF2B5EF4-FFF2-40B4-BE49-F238E27FC236}">
              <a16:creationId xmlns:a16="http://schemas.microsoft.com/office/drawing/2014/main" id="{2ABFE7FF-38FE-F441-B617-12F356BCB664}"/>
            </a:ext>
          </a:extLst>
        </xdr:cNvPr>
        <xdr:cNvCxnSpPr>
          <a:stCxn id="115" idx="2"/>
          <a:endCxn id="116" idx="0"/>
        </xdr:cNvCxnSpPr>
      </xdr:nvCxnSpPr>
      <xdr:spPr>
        <a:xfrm rot="5400000">
          <a:off x="8155781" y="67706874"/>
          <a:ext cx="1045105" cy="8506354"/>
        </a:xfrm>
        <a:prstGeom prst="curved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238126</xdr:colOff>
      <xdr:row>302</xdr:row>
      <xdr:rowOff>52917</xdr:rowOff>
    </xdr:from>
    <xdr:to>
      <xdr:col>40</xdr:col>
      <xdr:colOff>145521</xdr:colOff>
      <xdr:row>307</xdr:row>
      <xdr:rowOff>119063</xdr:rowOff>
    </xdr:to>
    <xdr:sp macro="" textlink="">
      <xdr:nvSpPr>
        <xdr:cNvPr id="121" name="Rectangle 120">
          <a:extLst>
            <a:ext uri="{FF2B5EF4-FFF2-40B4-BE49-F238E27FC236}">
              <a16:creationId xmlns:a16="http://schemas.microsoft.com/office/drawing/2014/main" id="{0B913183-5ABB-454A-BBA3-16D360D53BC7}"/>
            </a:ext>
          </a:extLst>
        </xdr:cNvPr>
        <xdr:cNvSpPr/>
      </xdr:nvSpPr>
      <xdr:spPr>
        <a:xfrm>
          <a:off x="10980209" y="45997813"/>
          <a:ext cx="1759479" cy="1587500"/>
        </a:xfrm>
        <a:prstGeom prst="rect">
          <a:avLst/>
        </a:prstGeom>
        <a:noFill/>
        <a:ln>
          <a:prstDash val="sysDot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238126</xdr:colOff>
      <xdr:row>311</xdr:row>
      <xdr:rowOff>158749</xdr:rowOff>
    </xdr:from>
    <xdr:to>
      <xdr:col>20</xdr:col>
      <xdr:colOff>145522</xdr:colOff>
      <xdr:row>316</xdr:row>
      <xdr:rowOff>224895</xdr:rowOff>
    </xdr:to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59BFBB12-9280-EE49-B85E-91DD06086B74}"/>
            </a:ext>
          </a:extLst>
        </xdr:cNvPr>
        <xdr:cNvSpPr/>
      </xdr:nvSpPr>
      <xdr:spPr>
        <a:xfrm>
          <a:off x="3571876" y="49450624"/>
          <a:ext cx="1759479" cy="1587500"/>
        </a:xfrm>
        <a:prstGeom prst="rect">
          <a:avLst/>
        </a:prstGeom>
        <a:noFill/>
        <a:ln>
          <a:prstDash val="sysDot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35</xdr:col>
      <xdr:colOff>224896</xdr:colOff>
      <xdr:row>324</xdr:row>
      <xdr:rowOff>39685</xdr:rowOff>
    </xdr:from>
    <xdr:to>
      <xdr:col>40</xdr:col>
      <xdr:colOff>132291</xdr:colOff>
      <xdr:row>329</xdr:row>
      <xdr:rowOff>105831</xdr:rowOff>
    </xdr:to>
    <xdr:sp macro="" textlink="">
      <xdr:nvSpPr>
        <xdr:cNvPr id="123" name="Rectangle 122">
          <a:extLst>
            <a:ext uri="{FF2B5EF4-FFF2-40B4-BE49-F238E27FC236}">
              <a16:creationId xmlns:a16="http://schemas.microsoft.com/office/drawing/2014/main" id="{2175572A-915A-254E-92BD-13F9F879F785}"/>
            </a:ext>
          </a:extLst>
        </xdr:cNvPr>
        <xdr:cNvSpPr/>
      </xdr:nvSpPr>
      <xdr:spPr>
        <a:xfrm>
          <a:off x="10966979" y="53287081"/>
          <a:ext cx="1759479" cy="1587500"/>
        </a:xfrm>
        <a:prstGeom prst="rect">
          <a:avLst/>
        </a:prstGeom>
        <a:noFill/>
        <a:ln>
          <a:prstDash val="sysDot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158750</xdr:colOff>
      <xdr:row>323</xdr:row>
      <xdr:rowOff>13229</xdr:rowOff>
    </xdr:from>
    <xdr:to>
      <xdr:col>22</xdr:col>
      <xdr:colOff>171978</xdr:colOff>
      <xdr:row>327</xdr:row>
      <xdr:rowOff>145520</xdr:rowOff>
    </xdr:to>
    <xdr:sp macro="" textlink="">
      <xdr:nvSpPr>
        <xdr:cNvPr id="125" name="Rectangle 124">
          <a:extLst>
            <a:ext uri="{FF2B5EF4-FFF2-40B4-BE49-F238E27FC236}">
              <a16:creationId xmlns:a16="http://schemas.microsoft.com/office/drawing/2014/main" id="{0EBDC227-D3CC-1D4A-A8D1-102F53BEB580}"/>
            </a:ext>
          </a:extLst>
        </xdr:cNvPr>
        <xdr:cNvSpPr/>
      </xdr:nvSpPr>
      <xdr:spPr>
        <a:xfrm>
          <a:off x="3122083" y="91598750"/>
          <a:ext cx="2606145" cy="1349374"/>
        </a:xfrm>
        <a:prstGeom prst="rect">
          <a:avLst/>
        </a:prstGeom>
        <a:noFill/>
        <a:ln>
          <a:prstDash val="sysDot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6617</xdr:colOff>
      <xdr:row>307</xdr:row>
      <xdr:rowOff>119063</xdr:rowOff>
    </xdr:from>
    <xdr:to>
      <xdr:col>38</xdr:col>
      <xdr:colOff>6616</xdr:colOff>
      <xdr:row>311</xdr:row>
      <xdr:rowOff>158749</xdr:rowOff>
    </xdr:to>
    <xdr:cxnSp macro="">
      <xdr:nvCxnSpPr>
        <xdr:cNvPr id="126" name="Curved Connector 125">
          <a:extLst>
            <a:ext uri="{FF2B5EF4-FFF2-40B4-BE49-F238E27FC236}">
              <a16:creationId xmlns:a16="http://schemas.microsoft.com/office/drawing/2014/main" id="{37224CFF-C476-344B-997E-58C12B73FD11}"/>
            </a:ext>
          </a:extLst>
        </xdr:cNvPr>
        <xdr:cNvCxnSpPr>
          <a:stCxn id="121" idx="2"/>
          <a:endCxn id="122" idx="0"/>
        </xdr:cNvCxnSpPr>
      </xdr:nvCxnSpPr>
      <xdr:spPr>
        <a:xfrm rot="5400000">
          <a:off x="7156982" y="83760469"/>
          <a:ext cx="1256769" cy="7408333"/>
        </a:xfrm>
        <a:prstGeom prst="curved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158750</xdr:colOff>
      <xdr:row>273</xdr:row>
      <xdr:rowOff>171978</xdr:rowOff>
    </xdr:from>
    <xdr:to>
      <xdr:col>15</xdr:col>
      <xdr:colOff>171450</xdr:colOff>
      <xdr:row>325</xdr:row>
      <xdr:rowOff>79374</xdr:rowOff>
    </xdr:to>
    <xdr:cxnSp macro="">
      <xdr:nvCxnSpPr>
        <xdr:cNvPr id="129" name="Curved Connector 128">
          <a:extLst>
            <a:ext uri="{FF2B5EF4-FFF2-40B4-BE49-F238E27FC236}">
              <a16:creationId xmlns:a16="http://schemas.microsoft.com/office/drawing/2014/main" id="{C810CE94-CAF3-CA4E-8531-92790771CFFD}"/>
            </a:ext>
          </a:extLst>
        </xdr:cNvPr>
        <xdr:cNvCxnSpPr>
          <a:stCxn id="152" idx="1"/>
          <a:endCxn id="125" idx="1"/>
        </xdr:cNvCxnSpPr>
      </xdr:nvCxnSpPr>
      <xdr:spPr>
        <a:xfrm rot="10800000" flipV="1">
          <a:off x="3078290" y="82634392"/>
          <a:ext cx="12700" cy="15848085"/>
        </a:xfrm>
        <a:prstGeom prst="curvedConnector3">
          <a:avLst>
            <a:gd name="adj1" fmla="val 17891953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300789</xdr:colOff>
      <xdr:row>225</xdr:row>
      <xdr:rowOff>233947</xdr:rowOff>
    </xdr:from>
    <xdr:to>
      <xdr:col>46</xdr:col>
      <xdr:colOff>133684</xdr:colOff>
      <xdr:row>244</xdr:row>
      <xdr:rowOff>0</xdr:rowOff>
    </xdr:to>
    <xdr:sp macro="" textlink="">
      <xdr:nvSpPr>
        <xdr:cNvPr id="139" name="Rectangle 138">
          <a:extLst>
            <a:ext uri="{FF2B5EF4-FFF2-40B4-BE49-F238E27FC236}">
              <a16:creationId xmlns:a16="http://schemas.microsoft.com/office/drawing/2014/main" id="{917C4B52-2ED8-F616-A8ED-84D23A4BAD38}"/>
            </a:ext>
          </a:extLst>
        </xdr:cNvPr>
        <xdr:cNvSpPr/>
      </xdr:nvSpPr>
      <xdr:spPr>
        <a:xfrm>
          <a:off x="668421" y="65505263"/>
          <a:ext cx="13802895" cy="5481053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3000">
              <a:solidFill>
                <a:schemeClr val="tx1"/>
              </a:solidFill>
            </a:rPr>
            <a:t>Self Attention</a:t>
          </a:r>
        </a:p>
      </xdr:txBody>
    </xdr:sp>
    <xdr:clientData/>
  </xdr:twoCellAnchor>
  <xdr:twoCellAnchor>
    <xdr:from>
      <xdr:col>8</xdr:col>
      <xdr:colOff>311484</xdr:colOff>
      <xdr:row>245</xdr:row>
      <xdr:rowOff>18716</xdr:rowOff>
    </xdr:from>
    <xdr:to>
      <xdr:col>46</xdr:col>
      <xdr:colOff>144379</xdr:colOff>
      <xdr:row>270</xdr:row>
      <xdr:rowOff>175172</xdr:rowOff>
    </xdr:to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1243562A-804F-C446-9283-5790A2496FDA}"/>
            </a:ext>
          </a:extLst>
        </xdr:cNvPr>
        <xdr:cNvSpPr/>
      </xdr:nvSpPr>
      <xdr:spPr>
        <a:xfrm>
          <a:off x="692484" y="73475516"/>
          <a:ext cx="14310895" cy="7776456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3000">
              <a:solidFill>
                <a:schemeClr val="tx1"/>
              </a:solidFill>
            </a:rPr>
            <a:t>Feed</a:t>
          </a:r>
          <a:r>
            <a:rPr lang="en-US" sz="3000" baseline="0">
              <a:solidFill>
                <a:schemeClr val="tx1"/>
              </a:solidFill>
            </a:rPr>
            <a:t> Forward</a:t>
          </a:r>
          <a:endParaRPr lang="en-US" sz="30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334210</xdr:colOff>
      <xdr:row>290</xdr:row>
      <xdr:rowOff>216829</xdr:rowOff>
    </xdr:from>
    <xdr:to>
      <xdr:col>46</xdr:col>
      <xdr:colOff>167105</xdr:colOff>
      <xdr:row>308</xdr:row>
      <xdr:rowOff>133685</xdr:rowOff>
    </xdr:to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DD41FC30-4467-AA4B-B8D7-0A9CD10788AB}"/>
            </a:ext>
          </a:extLst>
        </xdr:cNvPr>
        <xdr:cNvSpPr/>
      </xdr:nvSpPr>
      <xdr:spPr>
        <a:xfrm>
          <a:off x="705917" y="85709512"/>
          <a:ext cx="13957773" cy="5492466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3000">
              <a:solidFill>
                <a:schemeClr val="tx1"/>
              </a:solidFill>
            </a:rPr>
            <a:t>Self Attention</a:t>
          </a:r>
        </a:p>
      </xdr:txBody>
    </xdr:sp>
    <xdr:clientData/>
  </xdr:twoCellAnchor>
  <xdr:twoCellAnchor>
    <xdr:from>
      <xdr:col>8</xdr:col>
      <xdr:colOff>334210</xdr:colOff>
      <xdr:row>309</xdr:row>
      <xdr:rowOff>167105</xdr:rowOff>
    </xdr:from>
    <xdr:to>
      <xdr:col>46</xdr:col>
      <xdr:colOff>167105</xdr:colOff>
      <xdr:row>335</xdr:row>
      <xdr:rowOff>33421</xdr:rowOff>
    </xdr:to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80323F4C-0CFB-C14C-993F-C71E5EFD85C3}"/>
            </a:ext>
          </a:extLst>
        </xdr:cNvPr>
        <xdr:cNvSpPr/>
      </xdr:nvSpPr>
      <xdr:spPr>
        <a:xfrm>
          <a:off x="701842" y="86493684"/>
          <a:ext cx="13802895" cy="7686842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3000">
              <a:solidFill>
                <a:schemeClr val="tx1"/>
              </a:solidFill>
            </a:rPr>
            <a:t>Cross Attention</a:t>
          </a:r>
        </a:p>
      </xdr:txBody>
    </xdr:sp>
    <xdr:clientData/>
  </xdr:twoCellAnchor>
  <xdr:twoCellAnchor>
    <xdr:from>
      <xdr:col>15</xdr:col>
      <xdr:colOff>238125</xdr:colOff>
      <xdr:row>337</xdr:row>
      <xdr:rowOff>145521</xdr:rowOff>
    </xdr:from>
    <xdr:to>
      <xdr:col>20</xdr:col>
      <xdr:colOff>145521</xdr:colOff>
      <xdr:row>342</xdr:row>
      <xdr:rowOff>211667</xdr:rowOff>
    </xdr:to>
    <xdr:sp macro="" textlink="">
      <xdr:nvSpPr>
        <xdr:cNvPr id="145" name="Rectangle 144">
          <a:extLst>
            <a:ext uri="{FF2B5EF4-FFF2-40B4-BE49-F238E27FC236}">
              <a16:creationId xmlns:a16="http://schemas.microsoft.com/office/drawing/2014/main" id="{9AA05DE6-5FFE-464B-8E17-00C545BE599B}"/>
            </a:ext>
          </a:extLst>
        </xdr:cNvPr>
        <xdr:cNvSpPr/>
      </xdr:nvSpPr>
      <xdr:spPr>
        <a:xfrm>
          <a:off x="3583491" y="57760155"/>
          <a:ext cx="1765932" cy="1614927"/>
        </a:xfrm>
        <a:prstGeom prst="rect">
          <a:avLst/>
        </a:prstGeom>
        <a:noFill/>
        <a:ln>
          <a:prstDash val="sysDot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5971</xdr:colOff>
      <xdr:row>329</xdr:row>
      <xdr:rowOff>105831</xdr:rowOff>
    </xdr:from>
    <xdr:to>
      <xdr:col>37</xdr:col>
      <xdr:colOff>364448</xdr:colOff>
      <xdr:row>337</xdr:row>
      <xdr:rowOff>145521</xdr:rowOff>
    </xdr:to>
    <xdr:cxnSp macro="">
      <xdr:nvCxnSpPr>
        <xdr:cNvPr id="146" name="Curved Connector 145">
          <a:extLst>
            <a:ext uri="{FF2B5EF4-FFF2-40B4-BE49-F238E27FC236}">
              <a16:creationId xmlns:a16="http://schemas.microsoft.com/office/drawing/2014/main" id="{DFDF8080-A979-F246-AA42-6D1FAA42E251}"/>
            </a:ext>
          </a:extLst>
        </xdr:cNvPr>
        <xdr:cNvCxnSpPr>
          <a:stCxn id="123" idx="2"/>
          <a:endCxn id="145" idx="0"/>
        </xdr:cNvCxnSpPr>
      </xdr:nvCxnSpPr>
      <xdr:spPr>
        <a:xfrm rot="5400000">
          <a:off x="6546340" y="95227413"/>
          <a:ext cx="2517739" cy="7420917"/>
        </a:xfrm>
        <a:prstGeom prst="curved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347134</xdr:colOff>
      <xdr:row>336</xdr:row>
      <xdr:rowOff>127001</xdr:rowOff>
    </xdr:from>
    <xdr:to>
      <xdr:col>46</xdr:col>
      <xdr:colOff>180029</xdr:colOff>
      <xdr:row>364</xdr:row>
      <xdr:rowOff>42333</xdr:rowOff>
    </xdr:to>
    <xdr:sp macro="" textlink="">
      <xdr:nvSpPr>
        <xdr:cNvPr id="151" name="Rectangle 150">
          <a:extLst>
            <a:ext uri="{FF2B5EF4-FFF2-40B4-BE49-F238E27FC236}">
              <a16:creationId xmlns:a16="http://schemas.microsoft.com/office/drawing/2014/main" id="{F26B45FC-DFC9-824B-BD41-DFFAA6F2C7AC}"/>
            </a:ext>
          </a:extLst>
        </xdr:cNvPr>
        <xdr:cNvSpPr/>
      </xdr:nvSpPr>
      <xdr:spPr>
        <a:xfrm>
          <a:off x="728134" y="101320601"/>
          <a:ext cx="14310895" cy="8449732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3000">
              <a:solidFill>
                <a:schemeClr val="tx1"/>
              </a:solidFill>
            </a:rPr>
            <a:t>Feed</a:t>
          </a:r>
          <a:r>
            <a:rPr lang="en-US" sz="3000" baseline="0">
              <a:solidFill>
                <a:schemeClr val="tx1"/>
              </a:solidFill>
            </a:rPr>
            <a:t> Forward</a:t>
          </a:r>
          <a:endParaRPr lang="en-US" sz="30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158750</xdr:colOff>
      <xdr:row>271</xdr:row>
      <xdr:rowOff>105833</xdr:rowOff>
    </xdr:from>
    <xdr:to>
      <xdr:col>22</xdr:col>
      <xdr:colOff>171978</xdr:colOff>
      <xdr:row>275</xdr:row>
      <xdr:rowOff>238125</xdr:rowOff>
    </xdr:to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CAF99840-FBA4-774B-91C0-547919E00C42}"/>
            </a:ext>
          </a:extLst>
        </xdr:cNvPr>
        <xdr:cNvSpPr/>
      </xdr:nvSpPr>
      <xdr:spPr>
        <a:xfrm>
          <a:off x="3078290" y="80422385"/>
          <a:ext cx="2567826" cy="1358499"/>
        </a:xfrm>
        <a:prstGeom prst="rect">
          <a:avLst/>
        </a:prstGeom>
        <a:noFill/>
        <a:ln>
          <a:prstDash val="sysDot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279058</xdr:colOff>
      <xdr:row>223</xdr:row>
      <xdr:rowOff>117593</xdr:rowOff>
    </xdr:from>
    <xdr:to>
      <xdr:col>47</xdr:col>
      <xdr:colOff>164629</xdr:colOff>
      <xdr:row>271</xdr:row>
      <xdr:rowOff>23518</xdr:rowOff>
    </xdr:to>
    <xdr:sp macro="" textlink="">
      <xdr:nvSpPr>
        <xdr:cNvPr id="155" name="Rectangle 154">
          <a:extLst>
            <a:ext uri="{FF2B5EF4-FFF2-40B4-BE49-F238E27FC236}">
              <a16:creationId xmlns:a16="http://schemas.microsoft.com/office/drawing/2014/main" id="{72F83B23-8F57-EF49-8E88-0398134B223D}"/>
            </a:ext>
          </a:extLst>
        </xdr:cNvPr>
        <xdr:cNvSpPr/>
      </xdr:nvSpPr>
      <xdr:spPr>
        <a:xfrm>
          <a:off x="279058" y="67074815"/>
          <a:ext cx="14937423" cy="14581481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4000" b="1">
              <a:solidFill>
                <a:schemeClr val="tx1"/>
              </a:solidFill>
            </a:rPr>
            <a:t>Encoder</a:t>
          </a:r>
        </a:p>
      </xdr:txBody>
    </xdr:sp>
    <xdr:clientData/>
  </xdr:twoCellAnchor>
  <xdr:twoCellAnchor>
    <xdr:from>
      <xdr:col>7</xdr:col>
      <xdr:colOff>258710</xdr:colOff>
      <xdr:row>288</xdr:row>
      <xdr:rowOff>23519</xdr:rowOff>
    </xdr:from>
    <xdr:to>
      <xdr:col>47</xdr:col>
      <xdr:colOff>164630</xdr:colOff>
      <xdr:row>364</xdr:row>
      <xdr:rowOff>220332</xdr:rowOff>
    </xdr:to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687729C3-5ADE-1340-A701-D1B917F868A5}"/>
            </a:ext>
          </a:extLst>
        </xdr:cNvPr>
        <xdr:cNvSpPr/>
      </xdr:nvSpPr>
      <xdr:spPr>
        <a:xfrm>
          <a:off x="258710" y="86853889"/>
          <a:ext cx="14957772" cy="2343311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4000" b="1">
              <a:solidFill>
                <a:schemeClr val="tx1"/>
              </a:solidFill>
            </a:rPr>
            <a:t>Decoder</a:t>
          </a:r>
        </a:p>
      </xdr:txBody>
    </xdr:sp>
    <xdr:clientData/>
  </xdr:twoCellAnchor>
  <xdr:twoCellAnchor>
    <xdr:from>
      <xdr:col>10</xdr:col>
      <xdr:colOff>117592</xdr:colOff>
      <xdr:row>6</xdr:row>
      <xdr:rowOff>0</xdr:rowOff>
    </xdr:from>
    <xdr:to>
      <xdr:col>39</xdr:col>
      <xdr:colOff>117593</xdr:colOff>
      <xdr:row>24</xdr:row>
      <xdr:rowOff>117592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C7573FC-4B77-444B-AF3D-D55ACA4AE8D9}"/>
            </a:ext>
          </a:extLst>
        </xdr:cNvPr>
        <xdr:cNvSpPr/>
      </xdr:nvSpPr>
      <xdr:spPr>
        <a:xfrm>
          <a:off x="1246481" y="1834444"/>
          <a:ext cx="10912593" cy="5620926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3000">
              <a:solidFill>
                <a:schemeClr val="tx1"/>
              </a:solidFill>
            </a:rPr>
            <a:t>Self Attention</a:t>
          </a:r>
        </a:p>
      </xdr:txBody>
    </xdr:sp>
    <xdr:clientData/>
  </xdr:twoCellAnchor>
  <xdr:twoCellAnchor>
    <xdr:from>
      <xdr:col>10</xdr:col>
      <xdr:colOff>141110</xdr:colOff>
      <xdr:row>27</xdr:row>
      <xdr:rowOff>117594</xdr:rowOff>
    </xdr:from>
    <xdr:to>
      <xdr:col>39</xdr:col>
      <xdr:colOff>141111</xdr:colOff>
      <xdr:row>53</xdr:row>
      <xdr:rowOff>122333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1BCAB36-8B52-E04D-9339-B9460A34BEC0}"/>
            </a:ext>
          </a:extLst>
        </xdr:cNvPr>
        <xdr:cNvSpPr/>
      </xdr:nvSpPr>
      <xdr:spPr>
        <a:xfrm>
          <a:off x="3839051" y="8286682"/>
          <a:ext cx="10869707" cy="7871269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3000">
              <a:solidFill>
                <a:schemeClr val="tx1"/>
              </a:solidFill>
            </a:rPr>
            <a:t> Feed Forward</a:t>
          </a:r>
        </a:p>
      </xdr:txBody>
    </xdr:sp>
    <xdr:clientData/>
  </xdr:twoCellAnchor>
  <xdr:twoCellAnchor>
    <xdr:from>
      <xdr:col>9</xdr:col>
      <xdr:colOff>235185</xdr:colOff>
      <xdr:row>126</xdr:row>
      <xdr:rowOff>70556</xdr:rowOff>
    </xdr:from>
    <xdr:to>
      <xdr:col>16</xdr:col>
      <xdr:colOff>117592</xdr:colOff>
      <xdr:row>129</xdr:row>
      <xdr:rowOff>94074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5E86C18-C209-BD4D-995A-2D4F1BE4FF3D}"/>
            </a:ext>
          </a:extLst>
        </xdr:cNvPr>
        <xdr:cNvSpPr/>
      </xdr:nvSpPr>
      <xdr:spPr>
        <a:xfrm>
          <a:off x="3621852" y="38593889"/>
          <a:ext cx="2516481" cy="940741"/>
        </a:xfrm>
        <a:prstGeom prst="rect">
          <a:avLst/>
        </a:prstGeom>
        <a:noFill/>
        <a:ln>
          <a:prstDash val="sysDot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235185</xdr:colOff>
      <xdr:row>129</xdr:row>
      <xdr:rowOff>141111</xdr:rowOff>
    </xdr:from>
    <xdr:to>
      <xdr:col>16</xdr:col>
      <xdr:colOff>117592</xdr:colOff>
      <xdr:row>133</xdr:row>
      <xdr:rowOff>141111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39F28C50-20A0-2A43-B790-3426E945F598}"/>
            </a:ext>
          </a:extLst>
        </xdr:cNvPr>
        <xdr:cNvSpPr/>
      </xdr:nvSpPr>
      <xdr:spPr>
        <a:xfrm>
          <a:off x="3621852" y="39581667"/>
          <a:ext cx="2516481" cy="1222963"/>
        </a:xfrm>
        <a:prstGeom prst="rect">
          <a:avLst/>
        </a:prstGeom>
        <a:noFill/>
        <a:ln>
          <a:prstDash val="sysDot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269993</xdr:colOff>
      <xdr:row>125</xdr:row>
      <xdr:rowOff>128881</xdr:rowOff>
    </xdr:from>
    <xdr:to>
      <xdr:col>27</xdr:col>
      <xdr:colOff>152400</xdr:colOff>
      <xdr:row>129</xdr:row>
      <xdr:rowOff>128881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97494203-4502-F540-B4FC-C9D7CF2D02A0}"/>
            </a:ext>
          </a:extLst>
        </xdr:cNvPr>
        <xdr:cNvSpPr/>
      </xdr:nvSpPr>
      <xdr:spPr>
        <a:xfrm>
          <a:off x="7795919" y="38346474"/>
          <a:ext cx="2516481" cy="1222963"/>
        </a:xfrm>
        <a:prstGeom prst="rect">
          <a:avLst/>
        </a:prstGeom>
        <a:noFill/>
        <a:ln>
          <a:prstDash val="sysDot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293511</xdr:colOff>
      <xdr:row>117</xdr:row>
      <xdr:rowOff>11288</xdr:rowOff>
    </xdr:from>
    <xdr:to>
      <xdr:col>23</xdr:col>
      <xdr:colOff>164629</xdr:colOff>
      <xdr:row>124</xdr:row>
      <xdr:rowOff>141111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CDFBE24C-6525-2C40-8CA7-19ACEE4AEE75}"/>
            </a:ext>
          </a:extLst>
        </xdr:cNvPr>
        <xdr:cNvSpPr/>
      </xdr:nvSpPr>
      <xdr:spPr>
        <a:xfrm>
          <a:off x="7443141" y="35782955"/>
          <a:ext cx="1376303" cy="2270008"/>
        </a:xfrm>
        <a:prstGeom prst="rect">
          <a:avLst/>
        </a:prstGeom>
        <a:noFill/>
        <a:ln>
          <a:prstDash val="sysDot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117592</xdr:colOff>
      <xdr:row>120</xdr:row>
      <xdr:rowOff>229070</xdr:rowOff>
    </xdr:from>
    <xdr:to>
      <xdr:col>19</xdr:col>
      <xdr:colOff>293511</xdr:colOff>
      <xdr:row>127</xdr:row>
      <xdr:rowOff>235186</xdr:rowOff>
    </xdr:to>
    <xdr:cxnSp macro="">
      <xdr:nvCxnSpPr>
        <xdr:cNvPr id="8" name="Curved Connector 7">
          <a:extLst>
            <a:ext uri="{FF2B5EF4-FFF2-40B4-BE49-F238E27FC236}">
              <a16:creationId xmlns:a16="http://schemas.microsoft.com/office/drawing/2014/main" id="{ADF8F275-05A1-B14F-A905-EE2234C1522F}"/>
            </a:ext>
          </a:extLst>
        </xdr:cNvPr>
        <xdr:cNvCxnSpPr>
          <a:stCxn id="4" idx="3"/>
          <a:endCxn id="7" idx="1"/>
        </xdr:cNvCxnSpPr>
      </xdr:nvCxnSpPr>
      <xdr:spPr>
        <a:xfrm flipV="1">
          <a:off x="6138333" y="36917959"/>
          <a:ext cx="1304808" cy="2146301"/>
        </a:xfrm>
        <a:prstGeom prst="curved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117592</xdr:colOff>
      <xdr:row>127</xdr:row>
      <xdr:rowOff>128882</xdr:rowOff>
    </xdr:from>
    <xdr:to>
      <xdr:col>20</xdr:col>
      <xdr:colOff>269993</xdr:colOff>
      <xdr:row>131</xdr:row>
      <xdr:rowOff>141112</xdr:rowOff>
    </xdr:to>
    <xdr:cxnSp macro="">
      <xdr:nvCxnSpPr>
        <xdr:cNvPr id="12" name="Curved Connector 11">
          <a:extLst>
            <a:ext uri="{FF2B5EF4-FFF2-40B4-BE49-F238E27FC236}">
              <a16:creationId xmlns:a16="http://schemas.microsoft.com/office/drawing/2014/main" id="{85C5D35F-4B85-38D0-3D75-5505FFD093ED}"/>
            </a:ext>
          </a:extLst>
        </xdr:cNvPr>
        <xdr:cNvCxnSpPr>
          <a:stCxn id="5" idx="3"/>
          <a:endCxn id="6" idx="1"/>
        </xdr:cNvCxnSpPr>
      </xdr:nvCxnSpPr>
      <xdr:spPr>
        <a:xfrm flipV="1">
          <a:off x="6138333" y="38957956"/>
          <a:ext cx="1657586" cy="1235193"/>
        </a:xfrm>
        <a:prstGeom prst="curved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47036</xdr:colOff>
      <xdr:row>7</xdr:row>
      <xdr:rowOff>188149</xdr:rowOff>
    </xdr:from>
    <xdr:to>
      <xdr:col>6</xdr:col>
      <xdr:colOff>235654</xdr:colOff>
      <xdr:row>21</xdr:row>
      <xdr:rowOff>200378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F61D56D-FB0B-0044-9CF7-38EE1ABDB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3332" y="2328334"/>
          <a:ext cx="2070100" cy="4292600"/>
        </a:xfrm>
        <a:prstGeom prst="rect">
          <a:avLst/>
        </a:prstGeom>
      </xdr:spPr>
    </xdr:pic>
    <xdr:clientData/>
  </xdr:twoCellAnchor>
  <xdr:twoCellAnchor editAs="oneCell">
    <xdr:from>
      <xdr:col>1</xdr:col>
      <xdr:colOff>11288</xdr:colOff>
      <xdr:row>31</xdr:row>
      <xdr:rowOff>152401</xdr:rowOff>
    </xdr:from>
    <xdr:to>
      <xdr:col>6</xdr:col>
      <xdr:colOff>199906</xdr:colOff>
      <xdr:row>45</xdr:row>
      <xdr:rowOff>164631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82410AE4-CEAD-A146-99DA-102869E6D3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7584" y="9630364"/>
          <a:ext cx="2070100" cy="4292600"/>
        </a:xfrm>
        <a:prstGeom prst="rect">
          <a:avLst/>
        </a:prstGeom>
      </xdr:spPr>
    </xdr:pic>
    <xdr:clientData/>
  </xdr:twoCellAnchor>
  <xdr:twoCellAnchor editAs="oneCell">
    <xdr:from>
      <xdr:col>0</xdr:col>
      <xdr:colOff>329260</xdr:colOff>
      <xdr:row>160</xdr:row>
      <xdr:rowOff>94073</xdr:rowOff>
    </xdr:from>
    <xdr:to>
      <xdr:col>5</xdr:col>
      <xdr:colOff>200379</xdr:colOff>
      <xdr:row>174</xdr:row>
      <xdr:rowOff>17403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CE7BA924-7874-493B-5C18-D3304C5817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9260" y="49012592"/>
          <a:ext cx="1752600" cy="4203700"/>
        </a:xfrm>
        <a:prstGeom prst="rect">
          <a:avLst/>
        </a:prstGeom>
      </xdr:spPr>
    </xdr:pic>
    <xdr:clientData/>
  </xdr:twoCellAnchor>
  <xdr:twoCellAnchor editAs="oneCell">
    <xdr:from>
      <xdr:col>1</xdr:col>
      <xdr:colOff>34808</xdr:colOff>
      <xdr:row>186</xdr:row>
      <xdr:rowOff>222955</xdr:rowOff>
    </xdr:from>
    <xdr:to>
      <xdr:col>5</xdr:col>
      <xdr:colOff>282223</xdr:colOff>
      <xdr:row>200</xdr:row>
      <xdr:rowOff>146285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557DCAD8-FBF6-BE49-A19D-826ECEEAE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1104" y="57090733"/>
          <a:ext cx="1752600" cy="42037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139</xdr:row>
      <xdr:rowOff>0</xdr:rowOff>
    </xdr:from>
    <xdr:to>
      <xdr:col>5</xdr:col>
      <xdr:colOff>247415</xdr:colOff>
      <xdr:row>152</xdr:row>
      <xdr:rowOff>229070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AB63CEF4-C1A5-394F-8F5D-6D1ADDF070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6296" y="42497963"/>
          <a:ext cx="1752600" cy="4203700"/>
        </a:xfrm>
        <a:prstGeom prst="rect">
          <a:avLst/>
        </a:prstGeom>
      </xdr:spPr>
    </xdr:pic>
    <xdr:clientData/>
  </xdr:twoCellAnchor>
  <xdr:twoCellAnchor editAs="oneCell">
    <xdr:from>
      <xdr:col>1</xdr:col>
      <xdr:colOff>211667</xdr:colOff>
      <xdr:row>375</xdr:row>
      <xdr:rowOff>-1</xdr:rowOff>
    </xdr:from>
    <xdr:to>
      <xdr:col>7</xdr:col>
      <xdr:colOff>201789</xdr:colOff>
      <xdr:row>396</xdr:row>
      <xdr:rowOff>132644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B0C52A9A-ADFF-494B-95E3-C2BD6CF39D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7963" y="114652777"/>
          <a:ext cx="2247900" cy="655320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139</xdr:row>
      <xdr:rowOff>0</xdr:rowOff>
    </xdr:from>
    <xdr:to>
      <xdr:col>40</xdr:col>
      <xdr:colOff>141111</xdr:colOff>
      <xdr:row>157</xdr:row>
      <xdr:rowOff>117593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1C84C946-FF95-E349-8936-BA7B520A6FC7}"/>
            </a:ext>
          </a:extLst>
        </xdr:cNvPr>
        <xdr:cNvSpPr/>
      </xdr:nvSpPr>
      <xdr:spPr>
        <a:xfrm>
          <a:off x="3010370" y="42497963"/>
          <a:ext cx="12182593" cy="5620926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3000">
              <a:solidFill>
                <a:schemeClr val="tx1"/>
              </a:solidFill>
            </a:rPr>
            <a:t>Self Attention</a:t>
          </a:r>
        </a:p>
      </xdr:txBody>
    </xdr:sp>
    <xdr:clientData/>
  </xdr:twoCellAnchor>
  <xdr:twoCellAnchor>
    <xdr:from>
      <xdr:col>8</xdr:col>
      <xdr:colOff>0</xdr:colOff>
      <xdr:row>161</xdr:row>
      <xdr:rowOff>0</xdr:rowOff>
    </xdr:from>
    <xdr:to>
      <xdr:col>40</xdr:col>
      <xdr:colOff>141111</xdr:colOff>
      <xdr:row>184</xdr:row>
      <xdr:rowOff>47037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EE7608A4-B1A8-DE47-8C3D-7FC52046C4CA}"/>
            </a:ext>
          </a:extLst>
        </xdr:cNvPr>
        <xdr:cNvSpPr/>
      </xdr:nvSpPr>
      <xdr:spPr>
        <a:xfrm>
          <a:off x="3010370" y="49224259"/>
          <a:ext cx="12182593" cy="7079074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3000">
              <a:solidFill>
                <a:schemeClr val="tx1"/>
              </a:solidFill>
            </a:rPr>
            <a:t>Cross Attention</a:t>
          </a:r>
        </a:p>
      </xdr:txBody>
    </xdr:sp>
    <xdr:clientData/>
  </xdr:twoCellAnchor>
  <xdr:twoCellAnchor>
    <xdr:from>
      <xdr:col>8</xdr:col>
      <xdr:colOff>0</xdr:colOff>
      <xdr:row>187</xdr:row>
      <xdr:rowOff>-1</xdr:rowOff>
    </xdr:from>
    <xdr:to>
      <xdr:col>40</xdr:col>
      <xdr:colOff>94074</xdr:colOff>
      <xdr:row>212</xdr:row>
      <xdr:rowOff>211666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1EBB9D1C-1C84-7F47-93FB-2D84F69BFC74}"/>
            </a:ext>
          </a:extLst>
        </xdr:cNvPr>
        <xdr:cNvSpPr/>
      </xdr:nvSpPr>
      <xdr:spPr>
        <a:xfrm>
          <a:off x="3010370" y="57173518"/>
          <a:ext cx="12135556" cy="78551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3000">
              <a:solidFill>
                <a:schemeClr val="tx1"/>
              </a:solidFill>
            </a:rPr>
            <a:t>Feed Forward</a:t>
          </a:r>
        </a:p>
      </xdr:txBody>
    </xdr:sp>
    <xdr:clientData/>
  </xdr:twoCellAnchor>
  <xdr:twoCellAnchor editAs="oneCell">
    <xdr:from>
      <xdr:col>0</xdr:col>
      <xdr:colOff>296802</xdr:colOff>
      <xdr:row>282</xdr:row>
      <xdr:rowOff>211666</xdr:rowOff>
    </xdr:from>
    <xdr:to>
      <xdr:col>6</xdr:col>
      <xdr:colOff>286924</xdr:colOff>
      <xdr:row>304</xdr:row>
      <xdr:rowOff>38570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E9F47E70-F256-E44A-B2B5-01C36DC03D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6802" y="86430555"/>
          <a:ext cx="2247900" cy="6553200"/>
        </a:xfrm>
        <a:prstGeom prst="rect">
          <a:avLst/>
        </a:prstGeom>
      </xdr:spPr>
    </xdr:pic>
    <xdr:clientData/>
  </xdr:twoCellAnchor>
  <xdr:twoCellAnchor editAs="oneCell">
    <xdr:from>
      <xdr:col>0</xdr:col>
      <xdr:colOff>235185</xdr:colOff>
      <xdr:row>218</xdr:row>
      <xdr:rowOff>40452</xdr:rowOff>
    </xdr:from>
    <xdr:to>
      <xdr:col>6</xdr:col>
      <xdr:colOff>47507</xdr:colOff>
      <xdr:row>232</xdr:row>
      <xdr:rowOff>52681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215E609-841F-1C49-8798-0CEC8E4E1B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5185" y="66691933"/>
          <a:ext cx="2070100" cy="4292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B7E67-ACB0-2849-A8C6-F38EA0CAFD55}">
  <dimension ref="A1"/>
  <sheetViews>
    <sheetView showGridLines="0" workbookViewId="0">
      <selection activeCell="B1" sqref="B1"/>
    </sheetView>
  </sheetViews>
  <sheetFormatPr baseColWidth="10" defaultColWidth="4.875" defaultRowHeight="24" customHeight="1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058CF-28D0-084C-B9AE-1E40DF3C77C9}">
  <dimension ref="A1:BD212"/>
  <sheetViews>
    <sheetView topLeftCell="A205" zoomScale="80" zoomScaleNormal="80" workbookViewId="0">
      <selection activeCell="S76" sqref="S76"/>
    </sheetView>
  </sheetViews>
  <sheetFormatPr baseColWidth="10" defaultColWidth="4.875" defaultRowHeight="24" customHeight="1" x14ac:dyDescent="0.25"/>
  <sheetData>
    <row r="1" spans="1:15" s="5" customFormat="1" ht="24" customHeight="1" x14ac:dyDescent="0.35">
      <c r="A1" s="4" t="s">
        <v>0</v>
      </c>
    </row>
    <row r="3" spans="1:15" s="6" customFormat="1" ht="24" customHeight="1" x14ac:dyDescent="0.25">
      <c r="A3" s="6" t="s">
        <v>1</v>
      </c>
    </row>
    <row r="5" spans="1:15" ht="24" customHeight="1" x14ac:dyDescent="0.35">
      <c r="E5" s="31" t="s">
        <v>2</v>
      </c>
      <c r="F5" s="7"/>
      <c r="H5" s="31" t="s">
        <v>3</v>
      </c>
      <c r="I5" s="7"/>
      <c r="K5" s="31" t="s">
        <v>4</v>
      </c>
      <c r="L5" s="7"/>
      <c r="N5" s="31" t="s">
        <v>5</v>
      </c>
      <c r="O5" s="7"/>
    </row>
    <row r="8" spans="1:15" ht="24" customHeight="1" x14ac:dyDescent="0.25">
      <c r="E8" s="32" t="s">
        <v>6</v>
      </c>
      <c r="H8" s="32" t="s">
        <v>7</v>
      </c>
      <c r="K8" s="32" t="s">
        <v>8</v>
      </c>
      <c r="N8" s="32" t="s">
        <v>9</v>
      </c>
      <c r="O8" s="7"/>
    </row>
    <row r="11" spans="1:15" ht="24" customHeight="1" x14ac:dyDescent="0.35">
      <c r="E11" s="31" t="s">
        <v>10</v>
      </c>
      <c r="F11" s="7"/>
      <c r="H11" s="31" t="s">
        <v>11</v>
      </c>
      <c r="I11" s="7"/>
      <c r="K11" s="31" t="s">
        <v>12</v>
      </c>
      <c r="L11" s="7"/>
      <c r="N11" s="31" t="s">
        <v>13</v>
      </c>
      <c r="O11" s="7"/>
    </row>
    <row r="15" spans="1:15" s="6" customFormat="1" ht="24" customHeight="1" x14ac:dyDescent="0.25">
      <c r="A15" s="6" t="s">
        <v>14</v>
      </c>
    </row>
    <row r="17" spans="1:16" ht="24" customHeight="1" x14ac:dyDescent="0.35">
      <c r="E17" s="31" t="s">
        <v>2</v>
      </c>
      <c r="F17" s="7"/>
      <c r="H17" s="31" t="s">
        <v>3</v>
      </c>
      <c r="I17" s="7"/>
      <c r="K17" s="31" t="s">
        <v>4</v>
      </c>
      <c r="L17" s="7"/>
      <c r="N17" s="31" t="s">
        <v>5</v>
      </c>
      <c r="O17" s="7"/>
    </row>
    <row r="20" spans="1:16" ht="24" customHeight="1" x14ac:dyDescent="0.25">
      <c r="B20" s="32" t="s">
        <v>15</v>
      </c>
      <c r="C20" s="7"/>
      <c r="E20" s="32" t="s">
        <v>6</v>
      </c>
      <c r="H20" s="32" t="s">
        <v>7</v>
      </c>
      <c r="K20" s="32" t="s">
        <v>8</v>
      </c>
      <c r="N20" s="32" t="s">
        <v>9</v>
      </c>
    </row>
    <row r="23" spans="1:16" ht="24" customHeight="1" x14ac:dyDescent="0.35">
      <c r="E23" s="31" t="s">
        <v>10</v>
      </c>
      <c r="F23" s="7"/>
      <c r="H23" s="31" t="s">
        <v>11</v>
      </c>
      <c r="I23" s="7"/>
      <c r="K23" s="31" t="s">
        <v>12</v>
      </c>
      <c r="L23" s="7"/>
      <c r="N23" s="31" t="s">
        <v>13</v>
      </c>
      <c r="O23" s="7"/>
    </row>
    <row r="25" spans="1:16" s="6" customFormat="1" ht="24" customHeight="1" x14ac:dyDescent="0.25">
      <c r="A25" s="6" t="s">
        <v>16</v>
      </c>
    </row>
    <row r="28" spans="1:16" ht="24" customHeight="1" x14ac:dyDescent="0.35">
      <c r="E28" s="31" t="s">
        <v>2</v>
      </c>
      <c r="F28" s="7"/>
      <c r="H28" s="31" t="s">
        <v>3</v>
      </c>
      <c r="I28" s="7"/>
      <c r="K28" s="31" t="s">
        <v>4</v>
      </c>
      <c r="L28" s="7"/>
      <c r="N28" s="31" t="s">
        <v>5</v>
      </c>
      <c r="O28" s="7"/>
    </row>
    <row r="30" spans="1:16" ht="24" customHeight="1" x14ac:dyDescent="0.25">
      <c r="G30" s="32"/>
      <c r="J30" s="32"/>
      <c r="M30" s="32"/>
      <c r="P30" s="32"/>
    </row>
    <row r="31" spans="1:16" ht="24" customHeight="1" x14ac:dyDescent="0.35">
      <c r="C31" s="32"/>
      <c r="D31" s="7"/>
      <c r="E31" s="31" t="s">
        <v>17</v>
      </c>
      <c r="F31" s="7"/>
      <c r="H31" s="31" t="s">
        <v>18</v>
      </c>
      <c r="I31" s="7"/>
      <c r="K31" s="31" t="s">
        <v>19</v>
      </c>
      <c r="L31" s="7"/>
      <c r="N31" s="31" t="s">
        <v>20</v>
      </c>
      <c r="O31" s="7"/>
    </row>
    <row r="34" spans="1:47" ht="24" customHeight="1" x14ac:dyDescent="0.25">
      <c r="C34" s="32"/>
      <c r="D34" s="7"/>
      <c r="E34" s="32" t="s">
        <v>6</v>
      </c>
      <c r="H34" s="32" t="s">
        <v>7</v>
      </c>
      <c r="K34" s="32" t="s">
        <v>8</v>
      </c>
      <c r="N34" s="32" t="s">
        <v>9</v>
      </c>
      <c r="O34" s="7"/>
    </row>
    <row r="37" spans="1:47" ht="24" customHeight="1" x14ac:dyDescent="0.35">
      <c r="E37" s="31" t="s">
        <v>10</v>
      </c>
      <c r="F37" s="7"/>
      <c r="H37" s="31" t="s">
        <v>11</v>
      </c>
      <c r="I37" s="7"/>
      <c r="K37" s="31" t="s">
        <v>12</v>
      </c>
      <c r="L37" s="7"/>
      <c r="N37" s="31" t="s">
        <v>13</v>
      </c>
      <c r="O37" s="7"/>
    </row>
    <row r="38" spans="1:47" ht="24" customHeight="1" x14ac:dyDescent="0.35">
      <c r="E38" s="31"/>
      <c r="F38" s="7"/>
      <c r="H38" s="31"/>
      <c r="I38" s="7"/>
      <c r="K38" s="31"/>
      <c r="L38" s="7"/>
      <c r="N38" s="31"/>
      <c r="O38" s="7"/>
    </row>
    <row r="39" spans="1:47" s="5" customFormat="1" ht="24" customHeight="1" x14ac:dyDescent="0.35">
      <c r="A39" s="4" t="s">
        <v>21</v>
      </c>
    </row>
    <row r="41" spans="1:47" ht="24" customHeight="1" x14ac:dyDescent="0.25">
      <c r="C41" s="1"/>
      <c r="D41" s="1"/>
      <c r="E41" s="1"/>
      <c r="F41" s="1"/>
      <c r="G41" s="1"/>
      <c r="H41" s="1"/>
      <c r="I41" s="1"/>
      <c r="J41" s="1"/>
      <c r="L41" s="1"/>
    </row>
    <row r="42" spans="1:47" ht="24" customHeight="1" x14ac:dyDescent="0.25">
      <c r="C42" s="1"/>
      <c r="D42" s="1"/>
      <c r="E42" s="1"/>
      <c r="F42" s="1"/>
      <c r="G42" s="1"/>
      <c r="H42" s="1"/>
      <c r="I42" s="1"/>
      <c r="J42" s="1"/>
      <c r="L42" s="1"/>
    </row>
    <row r="43" spans="1:47" ht="24" customHeight="1" x14ac:dyDescent="0.25">
      <c r="B43" t="s">
        <v>22</v>
      </c>
      <c r="C43" s="50"/>
      <c r="D43" s="51"/>
      <c r="E43" s="52"/>
      <c r="F43" s="1"/>
      <c r="G43" s="1"/>
      <c r="H43" s="1"/>
      <c r="I43" s="1"/>
      <c r="J43" s="1"/>
      <c r="L43" s="1"/>
      <c r="N43" t="s">
        <v>2</v>
      </c>
      <c r="O43" s="8">
        <v>1</v>
      </c>
      <c r="P43" s="7"/>
      <c r="Q43" t="s">
        <v>3</v>
      </c>
      <c r="R43" s="8">
        <v>2</v>
      </c>
      <c r="S43" s="7"/>
      <c r="T43" t="s">
        <v>4</v>
      </c>
      <c r="U43" s="8">
        <v>1</v>
      </c>
      <c r="V43" s="7"/>
      <c r="W43" t="s">
        <v>5</v>
      </c>
      <c r="X43" s="8">
        <v>0</v>
      </c>
      <c r="Y43" s="7"/>
      <c r="AE43" s="1"/>
      <c r="AF43" s="1"/>
      <c r="AH43" s="1"/>
      <c r="AJ43" t="s">
        <v>2</v>
      </c>
      <c r="AK43" s="8">
        <v>1</v>
      </c>
      <c r="AL43" s="7"/>
      <c r="AM43" t="s">
        <v>3</v>
      </c>
      <c r="AN43" s="8">
        <v>2</v>
      </c>
      <c r="AO43" s="7"/>
      <c r="AP43" t="s">
        <v>4</v>
      </c>
      <c r="AQ43" s="8">
        <v>1</v>
      </c>
      <c r="AR43" s="7"/>
      <c r="AS43" t="s">
        <v>5</v>
      </c>
      <c r="AT43" s="8">
        <v>0</v>
      </c>
      <c r="AU43" s="7"/>
    </row>
    <row r="44" spans="1:47" ht="24" customHeight="1" x14ac:dyDescent="0.25">
      <c r="I44" s="1"/>
      <c r="J44" s="1"/>
      <c r="K44" s="1"/>
      <c r="L44" s="1"/>
      <c r="O44" s="9">
        <v>2</v>
      </c>
      <c r="R44" s="9">
        <v>0</v>
      </c>
      <c r="U44" s="9">
        <v>3</v>
      </c>
      <c r="X44" s="9">
        <v>1</v>
      </c>
      <c r="AE44" s="1"/>
      <c r="AF44" s="1"/>
      <c r="AG44" s="1"/>
      <c r="AH44" s="1"/>
      <c r="AK44" s="9">
        <v>2</v>
      </c>
      <c r="AN44" s="9">
        <v>0</v>
      </c>
      <c r="AQ44" s="9">
        <v>3</v>
      </c>
      <c r="AT44" s="9">
        <v>1</v>
      </c>
    </row>
    <row r="45" spans="1:47" ht="24" customHeight="1" x14ac:dyDescent="0.25">
      <c r="I45" s="1"/>
      <c r="J45" s="1"/>
      <c r="K45" s="1"/>
      <c r="L45" s="1"/>
      <c r="O45" s="10">
        <v>1</v>
      </c>
      <c r="R45" s="10">
        <v>1</v>
      </c>
      <c r="U45" s="10">
        <v>-1</v>
      </c>
      <c r="X45" s="10">
        <v>3</v>
      </c>
      <c r="AE45" s="1"/>
      <c r="AF45" s="1"/>
      <c r="AG45" s="1"/>
      <c r="AH45" s="1"/>
      <c r="AK45" s="10">
        <v>1</v>
      </c>
      <c r="AN45" s="10">
        <v>1</v>
      </c>
      <c r="AQ45" s="10">
        <v>-1</v>
      </c>
      <c r="AT45" s="10">
        <v>3</v>
      </c>
    </row>
    <row r="46" spans="1:47" ht="24" customHeight="1" x14ac:dyDescent="0.25">
      <c r="I46" s="1"/>
      <c r="J46" s="1"/>
      <c r="K46" s="1"/>
      <c r="L46" s="1"/>
      <c r="O46" s="1">
        <v>1</v>
      </c>
      <c r="R46" s="1">
        <v>1</v>
      </c>
      <c r="U46" s="1">
        <v>1</v>
      </c>
      <c r="X46" s="1">
        <v>1</v>
      </c>
      <c r="AE46" s="1"/>
      <c r="AF46" s="1"/>
      <c r="AG46" s="1"/>
      <c r="AH46" s="1"/>
      <c r="AJ46" t="s">
        <v>15</v>
      </c>
      <c r="AK46" s="15"/>
      <c r="AM46" t="s">
        <v>6</v>
      </c>
      <c r="AN46" s="15"/>
      <c r="AP46" t="s">
        <v>7</v>
      </c>
      <c r="AQ46" s="15" t="e" cm="1">
        <f t="array" ref="AQ46">_xlfn.ANCHORARRAY(AN57)</f>
        <v>#VALUE!</v>
      </c>
      <c r="AS46" t="s">
        <v>8</v>
      </c>
      <c r="AT46" s="15" t="e" cm="1">
        <f t="array" ref="AT46">_xlfn.ANCHORARRAY(AQ57)</f>
        <v>#VALUE!</v>
      </c>
    </row>
    <row r="47" spans="1:47" ht="24" customHeight="1" x14ac:dyDescent="0.25">
      <c r="I47" s="1"/>
      <c r="J47" s="1"/>
      <c r="K47" s="1"/>
      <c r="L47" s="1"/>
      <c r="AE47" s="1"/>
      <c r="AF47" s="1"/>
      <c r="AG47" s="1"/>
      <c r="AH47" s="1"/>
      <c r="AK47" s="25"/>
      <c r="AN47" s="25"/>
      <c r="AQ47" s="25"/>
      <c r="AT47" s="25"/>
    </row>
    <row r="48" spans="1:47" ht="24" customHeight="1" x14ac:dyDescent="0.25">
      <c r="I48" s="1"/>
      <c r="J48" s="3" t="s">
        <v>23</v>
      </c>
      <c r="K48" s="1"/>
      <c r="L48" s="1"/>
      <c r="M48" s="1"/>
      <c r="N48" s="3"/>
      <c r="O48" s="1"/>
      <c r="Q48" s="3"/>
      <c r="R48" s="1"/>
      <c r="T48" s="3"/>
      <c r="U48" s="1"/>
      <c r="W48" s="3"/>
      <c r="X48" s="1"/>
      <c r="AK48" s="25"/>
      <c r="AN48" s="25"/>
      <c r="AQ48" s="25"/>
      <c r="AT48" s="25"/>
    </row>
    <row r="49" spans="2:47" ht="24" customHeight="1" x14ac:dyDescent="0.25">
      <c r="J49" s="1" t="s">
        <v>24</v>
      </c>
      <c r="K49" s="1"/>
      <c r="L49" s="1"/>
      <c r="M49" s="1" t="s">
        <v>25</v>
      </c>
      <c r="N49" s="1"/>
      <c r="O49" s="1"/>
      <c r="Q49" s="1"/>
      <c r="R49" s="1"/>
      <c r="T49" s="1"/>
      <c r="U49" s="1"/>
      <c r="W49" s="1"/>
      <c r="X49" s="1"/>
      <c r="AK49" s="16"/>
      <c r="AN49" s="16"/>
      <c r="AQ49" s="16"/>
      <c r="AT49" s="16"/>
    </row>
    <row r="50" spans="2:47" ht="24" customHeight="1" x14ac:dyDescent="0.25">
      <c r="J50" s="2">
        <v>1</v>
      </c>
      <c r="K50" s="2">
        <v>-1</v>
      </c>
      <c r="L50" s="2">
        <v>1</v>
      </c>
      <c r="M50" s="14">
        <v>1</v>
      </c>
      <c r="N50" s="1"/>
      <c r="O50" s="11" cm="1">
        <f t="array" ref="O50:O53">MMULT(J50:M53,O43:O46)</f>
        <v>1</v>
      </c>
      <c r="Q50" s="1"/>
      <c r="R50" s="11" cm="1">
        <f t="array" ref="R50:R53">MMULT(J50:M53,R43:R46)</f>
        <v>4</v>
      </c>
      <c r="T50" s="1"/>
      <c r="U50" s="11" cm="1">
        <f t="array" ref="U50:U53">MMULT(J50:M53,U43:U46)</f>
        <v>-2</v>
      </c>
      <c r="W50" s="1"/>
      <c r="X50" s="11" cm="1">
        <f t="array" ref="X50:X53">MMULT(J50:M53,X43:X46)</f>
        <v>3</v>
      </c>
      <c r="AB50" t="s">
        <v>23</v>
      </c>
      <c r="AK50" s="1">
        <v>1</v>
      </c>
      <c r="AN50" s="1">
        <v>1</v>
      </c>
      <c r="AQ50" s="1">
        <v>1</v>
      </c>
      <c r="AT50" s="1">
        <v>1</v>
      </c>
    </row>
    <row r="51" spans="2:47" ht="24" customHeight="1" x14ac:dyDescent="0.25">
      <c r="J51" s="2">
        <v>2</v>
      </c>
      <c r="K51" s="2">
        <v>-1</v>
      </c>
      <c r="L51" s="2">
        <v>2</v>
      </c>
      <c r="M51" s="14">
        <v>-3</v>
      </c>
      <c r="N51" s="1"/>
      <c r="O51" s="12">
        <v>-1</v>
      </c>
      <c r="Q51" s="1"/>
      <c r="R51" s="12">
        <v>3</v>
      </c>
      <c r="T51" s="1"/>
      <c r="U51" s="12">
        <v>-6</v>
      </c>
      <c r="W51" s="1"/>
      <c r="X51" s="12">
        <v>2</v>
      </c>
      <c r="AF51" s="1"/>
      <c r="AG51" s="1"/>
      <c r="AH51" s="1"/>
      <c r="AI51" s="1" t="s">
        <v>25</v>
      </c>
      <c r="AJ51" s="1"/>
      <c r="AK51" s="1"/>
      <c r="AM51" s="1"/>
      <c r="AN51" s="1"/>
      <c r="AP51" s="1"/>
      <c r="AQ51" s="1"/>
      <c r="AS51" s="1"/>
      <c r="AT51" s="1"/>
    </row>
    <row r="52" spans="2:47" ht="24" customHeight="1" x14ac:dyDescent="0.25">
      <c r="J52" s="2">
        <v>1</v>
      </c>
      <c r="K52" s="2">
        <v>0</v>
      </c>
      <c r="L52" s="2">
        <v>1</v>
      </c>
      <c r="M52" s="14">
        <v>2</v>
      </c>
      <c r="N52" s="1"/>
      <c r="O52" s="12">
        <v>4</v>
      </c>
      <c r="Q52" s="1"/>
      <c r="R52" s="12">
        <v>5</v>
      </c>
      <c r="T52" s="1"/>
      <c r="U52" s="12">
        <v>2</v>
      </c>
      <c r="W52" s="1"/>
      <c r="X52" s="12">
        <v>5</v>
      </c>
      <c r="AB52" s="17">
        <v>1</v>
      </c>
      <c r="AC52" s="18">
        <v>-1</v>
      </c>
      <c r="AD52" s="19">
        <v>1</v>
      </c>
      <c r="AE52" s="17">
        <v>1</v>
      </c>
      <c r="AF52" s="18">
        <v>1</v>
      </c>
      <c r="AG52" s="18">
        <v>-1</v>
      </c>
      <c r="AH52" s="19">
        <v>1</v>
      </c>
      <c r="AI52" s="14">
        <v>1</v>
      </c>
      <c r="AJ52" s="1"/>
      <c r="AK52" s="11" t="e" cm="1">
        <f t="array" ref="AK52">MMULT(AB52:AI55,AK43:AK50)</f>
        <v>#VALUE!</v>
      </c>
      <c r="AM52" s="1"/>
      <c r="AN52" s="11" t="e" cm="1">
        <f t="array" ref="AN52">MMULT(AB52:AI55,AN43:AN50)</f>
        <v>#VALUE!</v>
      </c>
      <c r="AP52" s="1"/>
      <c r="AQ52" s="11" t="e" cm="1">
        <f t="array" ref="AQ52">MMULT(AB52:AI55,AQ43:AQ50)</f>
        <v>#VALUE!</v>
      </c>
      <c r="AS52" s="1"/>
      <c r="AT52" s="11" t="e" cm="1">
        <f t="array" ref="AT52">MMULT(AB52:AI55,AT43:AT50)</f>
        <v>#VALUE!</v>
      </c>
    </row>
    <row r="53" spans="2:47" ht="24" customHeight="1" x14ac:dyDescent="0.25">
      <c r="J53" s="2">
        <v>0</v>
      </c>
      <c r="K53" s="2">
        <v>2</v>
      </c>
      <c r="L53" s="2">
        <v>-2</v>
      </c>
      <c r="M53" s="14">
        <v>0</v>
      </c>
      <c r="N53" s="1"/>
      <c r="O53" s="13">
        <v>2</v>
      </c>
      <c r="Q53" s="1"/>
      <c r="R53" s="13">
        <v>-2</v>
      </c>
      <c r="T53" s="1"/>
      <c r="U53" s="13">
        <v>8</v>
      </c>
      <c r="W53" s="1"/>
      <c r="X53" s="13">
        <v>-4</v>
      </c>
      <c r="AB53" s="20">
        <v>2</v>
      </c>
      <c r="AC53" s="2">
        <v>-1</v>
      </c>
      <c r="AD53" s="21">
        <v>2</v>
      </c>
      <c r="AE53" s="20">
        <v>2</v>
      </c>
      <c r="AF53" s="2">
        <v>2</v>
      </c>
      <c r="AG53" s="2">
        <v>-1</v>
      </c>
      <c r="AH53" s="21">
        <v>2</v>
      </c>
      <c r="AI53" s="14">
        <v>-3</v>
      </c>
      <c r="AJ53" s="1"/>
      <c r="AK53" s="12"/>
      <c r="AM53" s="1"/>
      <c r="AN53" s="12"/>
      <c r="AP53" s="1"/>
      <c r="AQ53" s="12"/>
      <c r="AS53" s="1"/>
      <c r="AT53" s="12"/>
    </row>
    <row r="54" spans="2:47" ht="24" customHeight="1" x14ac:dyDescent="0.25">
      <c r="I54" s="1"/>
      <c r="J54" s="1"/>
      <c r="K54" s="1"/>
      <c r="L54" s="1"/>
      <c r="M54" s="1"/>
      <c r="N54" s="1"/>
      <c r="O54" s="1"/>
      <c r="Q54" s="1"/>
      <c r="R54" s="1"/>
      <c r="T54" s="1"/>
      <c r="U54" s="1"/>
      <c r="W54" s="1"/>
      <c r="X54" s="1"/>
      <c r="AB54" s="20">
        <v>1</v>
      </c>
      <c r="AC54" s="2">
        <v>0</v>
      </c>
      <c r="AD54" s="21">
        <v>1</v>
      </c>
      <c r="AE54" s="20">
        <v>1</v>
      </c>
      <c r="AF54" s="2">
        <v>1</v>
      </c>
      <c r="AG54" s="2">
        <v>0</v>
      </c>
      <c r="AH54" s="21">
        <v>1</v>
      </c>
      <c r="AI54" s="14">
        <v>2</v>
      </c>
      <c r="AJ54" s="1"/>
      <c r="AK54" s="12"/>
      <c r="AM54" s="1"/>
      <c r="AN54" s="12"/>
      <c r="AP54" s="1"/>
      <c r="AQ54" s="12"/>
      <c r="AS54" s="1"/>
      <c r="AT54" s="12"/>
    </row>
    <row r="55" spans="2:47" ht="24" customHeight="1" x14ac:dyDescent="0.25">
      <c r="B55" t="s">
        <v>26</v>
      </c>
      <c r="C55" s="53"/>
      <c r="D55" s="54"/>
      <c r="E55" s="54"/>
      <c r="F55" s="55"/>
      <c r="I55" s="1"/>
      <c r="J55" s="1"/>
      <c r="K55" t="s">
        <v>27</v>
      </c>
      <c r="L55" s="1"/>
      <c r="M55" s="1"/>
      <c r="N55" t="s">
        <v>6</v>
      </c>
      <c r="O55" s="15" cm="1">
        <f t="array" ref="O55:O58">_xlfn.MAP(_xlfn.ANCHORARRAY(O50),_xlfn.LAMBDA(_xlpm.x, MAX(_xlpm.x,0)))</f>
        <v>1</v>
      </c>
      <c r="Q55" s="1" t="s">
        <v>7</v>
      </c>
      <c r="R55" s="15" cm="1">
        <f t="array" ref="R55:R58">_xlfn.MAP(_xlfn.ANCHORARRAY(R50),_xlfn.LAMBDA(_xlpm.x, MAX(_xlpm.x,0)))</f>
        <v>4</v>
      </c>
      <c r="T55" t="s">
        <v>8</v>
      </c>
      <c r="U55" s="15" cm="1">
        <f t="array" ref="U55:U58">_xlfn.MAP(_xlfn.ANCHORARRAY(U50),_xlfn.LAMBDA(_xlpm.x, MAX(_xlpm.x,0)))</f>
        <v>0</v>
      </c>
      <c r="W55" t="s">
        <v>9</v>
      </c>
      <c r="X55" s="15" cm="1">
        <f t="array" ref="X55:X58">_xlfn.MAP(_xlfn.ANCHORARRAY(X50),_xlfn.LAMBDA(_xlpm.x, MAX(_xlpm.x,0)))</f>
        <v>3</v>
      </c>
      <c r="AB55" s="22">
        <v>0</v>
      </c>
      <c r="AC55" s="23">
        <v>2</v>
      </c>
      <c r="AD55" s="24">
        <v>-2</v>
      </c>
      <c r="AE55" s="22">
        <v>0</v>
      </c>
      <c r="AF55" s="23">
        <v>0</v>
      </c>
      <c r="AG55" s="23">
        <v>2</v>
      </c>
      <c r="AH55" s="24">
        <v>-2</v>
      </c>
      <c r="AI55" s="14">
        <v>0</v>
      </c>
      <c r="AJ55" s="1"/>
      <c r="AK55" s="13"/>
      <c r="AM55" s="1"/>
      <c r="AN55" s="13"/>
      <c r="AP55" s="1"/>
      <c r="AQ55" s="13"/>
      <c r="AS55" s="1"/>
      <c r="AT55" s="13"/>
    </row>
    <row r="56" spans="2:47" ht="24" customHeight="1" x14ac:dyDescent="0.25">
      <c r="I56" s="1"/>
      <c r="J56" s="1"/>
      <c r="K56" s="1"/>
      <c r="L56" s="1"/>
      <c r="M56" s="1"/>
      <c r="N56" s="1"/>
      <c r="O56" s="25">
        <v>0</v>
      </c>
      <c r="P56" s="7"/>
      <c r="Q56" s="1"/>
      <c r="R56" s="25">
        <v>3</v>
      </c>
      <c r="S56" s="7"/>
      <c r="T56" s="1"/>
      <c r="U56" s="25">
        <v>0</v>
      </c>
      <c r="V56" s="7"/>
      <c r="W56" s="1"/>
      <c r="X56" s="25">
        <v>2</v>
      </c>
      <c r="Y56" s="7"/>
      <c r="AE56" s="1"/>
      <c r="AF56" s="1"/>
      <c r="AG56" s="1"/>
      <c r="AH56" t="s">
        <v>27</v>
      </c>
      <c r="AI56" s="1"/>
      <c r="AJ56" s="1"/>
      <c r="AK56" s="1"/>
      <c r="AM56" s="1"/>
      <c r="AN56" s="1"/>
      <c r="AP56" s="1"/>
      <c r="AQ56" s="1"/>
      <c r="AS56" s="1"/>
      <c r="AT56" s="1"/>
    </row>
    <row r="57" spans="2:47" ht="24" customHeight="1" x14ac:dyDescent="0.25">
      <c r="I57" s="1"/>
      <c r="J57" s="1"/>
      <c r="K57" s="1"/>
      <c r="L57" s="1"/>
      <c r="M57" s="1"/>
      <c r="N57" s="1"/>
      <c r="O57" s="25">
        <v>4</v>
      </c>
      <c r="Q57" s="1"/>
      <c r="R57" s="25">
        <v>5</v>
      </c>
      <c r="T57" s="1"/>
      <c r="U57" s="25">
        <v>2</v>
      </c>
      <c r="W57" s="1"/>
      <c r="X57" s="25">
        <v>5</v>
      </c>
      <c r="AE57" s="1"/>
      <c r="AF57" s="1"/>
      <c r="AG57" t="s">
        <v>15</v>
      </c>
      <c r="AH57" s="15"/>
      <c r="AI57" s="1"/>
      <c r="AJ57" t="s">
        <v>6</v>
      </c>
      <c r="AK57" s="15" t="e" cm="1">
        <f t="array" ref="AK57">_xlfn.MAP(_xlfn.ANCHORARRAY(AK52),_xlfn.LAMBDA(_xlpm.x, MAX(_xlpm.x,0)))</f>
        <v>#VALUE!</v>
      </c>
      <c r="AM57" s="1" t="s">
        <v>7</v>
      </c>
      <c r="AN57" s="15" t="e" cm="1">
        <f t="array" ref="AN57">_xlfn.MAP(_xlfn.ANCHORARRAY(AN52),_xlfn.LAMBDA(_xlpm.x, MAX(_xlpm.x,0)))</f>
        <v>#VALUE!</v>
      </c>
      <c r="AP57" t="s">
        <v>8</v>
      </c>
      <c r="AQ57" s="15" t="e" cm="1">
        <f t="array" ref="AQ57">_xlfn.MAP(_xlfn.ANCHORARRAY(AQ52),_xlfn.LAMBDA(_xlpm.x, MAX(_xlpm.x,0)))</f>
        <v>#VALUE!</v>
      </c>
      <c r="AS57" t="s">
        <v>9</v>
      </c>
      <c r="AT57" s="15" t="e" cm="1">
        <f t="array" ref="AT57">_xlfn.MAP(_xlfn.ANCHORARRAY(AT52),_xlfn.LAMBDA(_xlpm.x, MAX(_xlpm.x,0)))</f>
        <v>#VALUE!</v>
      </c>
    </row>
    <row r="58" spans="2:47" ht="24" customHeight="1" x14ac:dyDescent="0.25">
      <c r="I58" s="1"/>
      <c r="J58" s="1"/>
      <c r="K58" s="1"/>
      <c r="L58" s="1"/>
      <c r="M58" s="1"/>
      <c r="N58" s="1"/>
      <c r="O58" s="16">
        <v>2</v>
      </c>
      <c r="Q58" s="1"/>
      <c r="R58" s="16">
        <v>0</v>
      </c>
      <c r="T58" s="1"/>
      <c r="U58" s="16">
        <v>8</v>
      </c>
      <c r="W58" s="1"/>
      <c r="X58" s="16">
        <v>0</v>
      </c>
      <c r="AE58" s="1"/>
      <c r="AF58" s="1"/>
      <c r="AG58" s="1"/>
      <c r="AH58" s="25"/>
      <c r="AI58" s="7"/>
      <c r="AJ58" s="1"/>
      <c r="AK58" s="25"/>
      <c r="AL58" s="7"/>
      <c r="AM58" s="1"/>
      <c r="AN58" s="25"/>
      <c r="AO58" s="7"/>
      <c r="AP58" s="1"/>
      <c r="AQ58" s="25"/>
      <c r="AR58" s="7"/>
      <c r="AS58" s="1"/>
      <c r="AT58" s="25"/>
      <c r="AU58" s="7"/>
    </row>
    <row r="59" spans="2:47" ht="24" customHeight="1" x14ac:dyDescent="0.25">
      <c r="I59" s="3" t="s">
        <v>23</v>
      </c>
      <c r="J59" s="1"/>
      <c r="K59" s="1"/>
      <c r="L59" s="1"/>
      <c r="M59" s="1"/>
      <c r="N59" s="1"/>
      <c r="O59" s="1">
        <v>1</v>
      </c>
      <c r="Q59" s="1"/>
      <c r="R59" s="1">
        <v>1</v>
      </c>
      <c r="T59" s="1"/>
      <c r="U59" s="1">
        <v>1</v>
      </c>
      <c r="W59" s="1"/>
      <c r="X59" s="1">
        <v>1</v>
      </c>
      <c r="AE59" s="1"/>
      <c r="AF59" s="1"/>
      <c r="AG59" s="1"/>
      <c r="AH59" s="25"/>
      <c r="AI59" s="1"/>
      <c r="AJ59" s="1"/>
      <c r="AK59" s="25"/>
      <c r="AM59" s="1"/>
      <c r="AN59" s="25"/>
      <c r="AP59" s="1"/>
      <c r="AQ59" s="25"/>
      <c r="AS59" s="1"/>
      <c r="AT59" s="25"/>
    </row>
    <row r="60" spans="2:47" ht="24" customHeight="1" x14ac:dyDescent="0.25">
      <c r="I60" s="1" t="s">
        <v>24</v>
      </c>
      <c r="J60" s="1"/>
      <c r="K60" s="1"/>
      <c r="L60" s="1"/>
      <c r="M60" s="1" t="s">
        <v>25</v>
      </c>
      <c r="N60" s="3"/>
      <c r="O60" s="1"/>
      <c r="Q60" s="3"/>
      <c r="R60" s="1"/>
      <c r="T60" s="3"/>
      <c r="U60" s="1"/>
      <c r="W60" s="3"/>
      <c r="X60" s="1"/>
      <c r="AE60" s="1"/>
      <c r="AF60" s="1"/>
      <c r="AG60" s="1"/>
      <c r="AH60" s="16"/>
      <c r="AI60" s="1"/>
      <c r="AJ60" s="1"/>
      <c r="AK60" s="16"/>
      <c r="AM60" s="1"/>
      <c r="AN60" s="16"/>
      <c r="AP60" s="1"/>
      <c r="AQ60" s="16"/>
      <c r="AS60" s="1"/>
      <c r="AT60" s="16"/>
    </row>
    <row r="61" spans="2:47" ht="24" customHeight="1" x14ac:dyDescent="0.25">
      <c r="I61" s="2">
        <v>1</v>
      </c>
      <c r="J61" s="2">
        <v>-1</v>
      </c>
      <c r="K61" s="2">
        <v>0</v>
      </c>
      <c r="L61" s="2">
        <v>0</v>
      </c>
      <c r="M61" s="14">
        <v>5</v>
      </c>
      <c r="O61" s="11" cm="1">
        <f t="array" ref="O61:O62">MMULT($I61:$M62,O55:O59)</f>
        <v>6</v>
      </c>
      <c r="Q61" s="1"/>
      <c r="R61" s="11" cm="1">
        <f t="array" ref="R61:R62">MMULT($I61:$M62,R55:R59)</f>
        <v>6</v>
      </c>
      <c r="T61" s="1"/>
      <c r="U61" s="11" cm="1">
        <f t="array" ref="U61:U62">MMULT($I61:$M62,U55:U59)</f>
        <v>5</v>
      </c>
      <c r="W61" s="1"/>
      <c r="X61" s="11" cm="1">
        <f t="array" ref="X61:X62">MMULT($I61:$M62,X55:X59)</f>
        <v>6</v>
      </c>
      <c r="AE61" s="3" t="s">
        <v>23</v>
      </c>
      <c r="AF61" s="1"/>
      <c r="AG61" s="1"/>
      <c r="AH61" s="1"/>
      <c r="AI61" s="1"/>
      <c r="AJ61" s="1"/>
      <c r="AK61" s="1">
        <v>1</v>
      </c>
      <c r="AM61" s="1"/>
      <c r="AN61" s="1">
        <v>1</v>
      </c>
      <c r="AP61" s="1"/>
      <c r="AQ61" s="1">
        <v>1</v>
      </c>
      <c r="AS61" s="1"/>
      <c r="AT61" s="1">
        <v>1</v>
      </c>
    </row>
    <row r="62" spans="2:47" ht="24" customHeight="1" x14ac:dyDescent="0.25">
      <c r="I62" s="2">
        <v>0</v>
      </c>
      <c r="J62" s="2">
        <v>0</v>
      </c>
      <c r="K62" s="2">
        <v>1</v>
      </c>
      <c r="L62" s="2">
        <v>-1</v>
      </c>
      <c r="M62" s="14">
        <v>-3</v>
      </c>
      <c r="O62" s="13">
        <v>-1</v>
      </c>
      <c r="Q62" s="1"/>
      <c r="R62" s="13">
        <v>2</v>
      </c>
      <c r="T62" s="1"/>
      <c r="U62" s="13">
        <v>-9</v>
      </c>
      <c r="W62" s="1"/>
      <c r="X62" s="13">
        <v>2</v>
      </c>
      <c r="AE62" s="1" t="s">
        <v>24</v>
      </c>
      <c r="AF62" s="1"/>
      <c r="AG62" s="1"/>
      <c r="AH62" s="1"/>
      <c r="AI62" s="1" t="s">
        <v>25</v>
      </c>
      <c r="AJ62" s="3"/>
      <c r="AK62" s="1"/>
      <c r="AM62" s="3"/>
      <c r="AN62" s="1"/>
      <c r="AP62" s="3"/>
      <c r="AQ62" s="1"/>
      <c r="AS62" s="3"/>
      <c r="AT62" s="1"/>
    </row>
    <row r="63" spans="2:47" ht="24" customHeight="1" x14ac:dyDescent="0.25">
      <c r="AE63" s="2">
        <v>1</v>
      </c>
      <c r="AF63" s="2">
        <v>-1</v>
      </c>
      <c r="AG63" s="2">
        <v>0</v>
      </c>
      <c r="AH63" s="2">
        <v>0</v>
      </c>
      <c r="AI63" s="14">
        <v>5</v>
      </c>
      <c r="AK63" s="11" t="e" cm="1">
        <f t="array" ref="AK63">MMULT($I61:$M62,AK57:AK61)</f>
        <v>#VALUE!</v>
      </c>
      <c r="AM63" s="1"/>
      <c r="AN63" s="11" t="e" cm="1">
        <f t="array" ref="AN63">MMULT($I61:$M62,AN57:AN61)</f>
        <v>#VALUE!</v>
      </c>
      <c r="AP63" s="1"/>
      <c r="AQ63" s="11" t="e" cm="1">
        <f t="array" ref="AQ63">MMULT($I61:$M62,AQ57:AQ61)</f>
        <v>#VALUE!</v>
      </c>
      <c r="AS63" s="1"/>
      <c r="AT63" s="11" t="e" cm="1">
        <f t="array" ref="AT63">MMULT($I61:$M62,AT57:AT61)</f>
        <v>#VALUE!</v>
      </c>
    </row>
    <row r="64" spans="2:47" ht="24" customHeight="1" x14ac:dyDescent="0.25">
      <c r="B64" t="s">
        <v>28</v>
      </c>
      <c r="C64" s="56"/>
      <c r="D64" s="57"/>
      <c r="K64" t="s">
        <v>27</v>
      </c>
      <c r="N64" s="27" t="s">
        <v>10</v>
      </c>
      <c r="O64" s="28" cm="1">
        <f t="array" ref="O64:O65">_xlfn.MAP(_xlfn.ANCHORARRAY(O61),_xlfn.LAMBDA(_xlpm.x, MAX(_xlpm.x,0)))</f>
        <v>6</v>
      </c>
      <c r="Q64" s="27" t="s">
        <v>11</v>
      </c>
      <c r="R64" s="28" cm="1">
        <f t="array" ref="R64:R65">_xlfn.MAP(_xlfn.ANCHORARRAY(R61),_xlfn.LAMBDA(_xlpm.x, MAX(_xlpm.x,0)))</f>
        <v>6</v>
      </c>
      <c r="T64" s="26" t="s">
        <v>12</v>
      </c>
      <c r="U64" s="28" cm="1">
        <f t="array" ref="U64:U65">_xlfn.MAP(_xlfn.ANCHORARRAY(U61),_xlfn.LAMBDA(_xlpm.x, MAX(_xlpm.x,0)))</f>
        <v>5</v>
      </c>
      <c r="W64" s="26" t="s">
        <v>13</v>
      </c>
      <c r="X64" s="28" cm="1">
        <f t="array" ref="X64:X65">_xlfn.MAP(_xlfn.ANCHORARRAY(X61),_xlfn.LAMBDA(_xlpm.x, MAX(_xlpm.x,0)))</f>
        <v>6</v>
      </c>
      <c r="AE64" s="2">
        <v>0</v>
      </c>
      <c r="AF64" s="2">
        <v>0</v>
      </c>
      <c r="AG64" s="2">
        <v>1</v>
      </c>
      <c r="AH64" s="2">
        <v>-1</v>
      </c>
      <c r="AI64" s="14">
        <v>-3</v>
      </c>
      <c r="AK64" s="13"/>
      <c r="AM64" s="1"/>
      <c r="AN64" s="13"/>
      <c r="AP64" s="1"/>
      <c r="AQ64" s="13"/>
      <c r="AS64" s="1"/>
      <c r="AT64" s="13"/>
    </row>
    <row r="65" spans="1:56" ht="24" customHeight="1" x14ac:dyDescent="0.25">
      <c r="O65" s="29">
        <v>0</v>
      </c>
      <c r="P65" s="7"/>
      <c r="R65" s="29">
        <v>2</v>
      </c>
      <c r="S65" s="7"/>
      <c r="U65" s="29">
        <v>0</v>
      </c>
      <c r="V65" s="7"/>
      <c r="X65" s="29">
        <v>2</v>
      </c>
      <c r="Y65" s="7"/>
    </row>
    <row r="66" spans="1:56" ht="24" customHeight="1" x14ac:dyDescent="0.25">
      <c r="AG66" t="s">
        <v>27</v>
      </c>
      <c r="AJ66" s="27" t="s">
        <v>10</v>
      </c>
      <c r="AK66" s="28" t="e" cm="1">
        <f t="array" ref="AK66">_xlfn.MAP(_xlfn.ANCHORARRAY(AK63),_xlfn.LAMBDA(_xlpm.x, MAX(_xlpm.x,0)))</f>
        <v>#VALUE!</v>
      </c>
      <c r="AM66" s="27" t="s">
        <v>11</v>
      </c>
      <c r="AN66" s="28" t="e" cm="1">
        <f t="array" ref="AN66">_xlfn.MAP(_xlfn.ANCHORARRAY(AN63),_xlfn.LAMBDA(_xlpm.x, MAX(_xlpm.x,0)))</f>
        <v>#VALUE!</v>
      </c>
      <c r="AP66" s="26" t="s">
        <v>12</v>
      </c>
      <c r="AQ66" s="28" t="e" cm="1">
        <f t="array" ref="AQ66">_xlfn.MAP(_xlfn.ANCHORARRAY(AQ63),_xlfn.LAMBDA(_xlpm.x, MAX(_xlpm.x,0)))</f>
        <v>#VALUE!</v>
      </c>
      <c r="AS66" s="26" t="s">
        <v>13</v>
      </c>
      <c r="AT66" s="28" t="e" cm="1">
        <f t="array" ref="AT66">_xlfn.MAP(_xlfn.ANCHORARRAY(AT63),_xlfn.LAMBDA(_xlpm.x, MAX(_xlpm.x,0)))</f>
        <v>#VALUE!</v>
      </c>
    </row>
    <row r="67" spans="1:56" ht="24" customHeight="1" x14ac:dyDescent="0.25">
      <c r="AK67" s="29"/>
      <c r="AL67" s="7"/>
      <c r="AN67" s="29"/>
      <c r="AO67" s="7"/>
      <c r="AQ67" s="29"/>
      <c r="AR67" s="7"/>
      <c r="AT67" s="29"/>
      <c r="AU67" s="7"/>
    </row>
    <row r="71" spans="1:56" s="5" customFormat="1" ht="24" customHeight="1" x14ac:dyDescent="0.35">
      <c r="A71" s="4" t="s">
        <v>29</v>
      </c>
    </row>
    <row r="72" spans="1:56" ht="24" customHeight="1" x14ac:dyDescent="0.25">
      <c r="C72" s="1"/>
      <c r="D72" s="1"/>
      <c r="E72" s="1"/>
      <c r="F72" s="1"/>
      <c r="G72" s="1"/>
      <c r="H72" s="1"/>
      <c r="I72" s="1"/>
      <c r="J72" s="1"/>
      <c r="L72" s="1"/>
      <c r="R72" s="1"/>
      <c r="S72" s="1"/>
      <c r="T72" s="1"/>
    </row>
    <row r="73" spans="1:56" ht="24" customHeight="1" x14ac:dyDescent="0.25">
      <c r="C73" s="1"/>
      <c r="D73" s="1"/>
      <c r="E73" s="1"/>
      <c r="F73" s="1"/>
      <c r="G73" s="1"/>
      <c r="H73" s="1"/>
      <c r="I73" s="1"/>
      <c r="J73" s="1"/>
      <c r="L73" s="1"/>
      <c r="R73" s="1"/>
      <c r="S73" s="1"/>
      <c r="T73" s="1"/>
    </row>
    <row r="74" spans="1:56" ht="24" customHeight="1" x14ac:dyDescent="0.25">
      <c r="C74" s="1"/>
      <c r="D74" s="1"/>
      <c r="E74" s="1"/>
      <c r="F74" s="1"/>
      <c r="G74" s="1"/>
      <c r="H74" s="1"/>
      <c r="I74" s="1"/>
      <c r="J74" s="1"/>
      <c r="L74" s="1"/>
      <c r="R74" s="1"/>
      <c r="S74" s="1"/>
      <c r="T74" s="1"/>
    </row>
    <row r="75" spans="1:56" ht="24" customHeight="1" x14ac:dyDescent="0.35">
      <c r="C75" s="1"/>
      <c r="D75" s="1"/>
      <c r="E75" s="1"/>
      <c r="F75" s="1"/>
      <c r="G75" s="1"/>
      <c r="H75" s="1"/>
      <c r="I75" s="1"/>
      <c r="J75" s="1"/>
      <c r="L75" s="1"/>
      <c r="R75" s="1"/>
      <c r="S75" s="1"/>
      <c r="T75" s="1"/>
      <c r="AT75" s="31" t="s">
        <v>2</v>
      </c>
      <c r="AU75" s="7"/>
      <c r="AW75" s="31" t="s">
        <v>3</v>
      </c>
      <c r="AX75" s="7"/>
      <c r="AZ75" s="31" t="s">
        <v>4</v>
      </c>
      <c r="BA75" s="7"/>
      <c r="BC75" s="31" t="s">
        <v>5</v>
      </c>
      <c r="BD75" s="7"/>
    </row>
    <row r="76" spans="1:56" ht="24" customHeight="1" x14ac:dyDescent="0.25">
      <c r="C76" s="1"/>
      <c r="D76" s="1"/>
      <c r="E76" s="1"/>
      <c r="F76" s="1"/>
      <c r="G76" s="1"/>
      <c r="H76" s="1"/>
      <c r="I76" s="1"/>
      <c r="J76" s="1"/>
      <c r="L76" s="1"/>
      <c r="R76" s="1"/>
      <c r="S76" s="1"/>
      <c r="T76" s="1"/>
      <c r="AA76" t="s">
        <v>30</v>
      </c>
    </row>
    <row r="77" spans="1:56" ht="24" customHeight="1" x14ac:dyDescent="0.25">
      <c r="C77" s="1"/>
      <c r="D77" s="1"/>
      <c r="E77" s="1"/>
      <c r="F77" s="1"/>
      <c r="G77" s="1"/>
      <c r="H77" s="1"/>
      <c r="I77" s="1"/>
      <c r="J77" s="1"/>
      <c r="L77" s="1"/>
      <c r="R77" s="1"/>
      <c r="S77" s="1"/>
      <c r="T77" s="1"/>
      <c r="AB77" s="11">
        <v>5</v>
      </c>
      <c r="AE77" s="11"/>
      <c r="AH77" s="11"/>
      <c r="AK77" s="11"/>
    </row>
    <row r="78" spans="1:56" ht="24" customHeight="1" x14ac:dyDescent="0.25">
      <c r="C78" s="1"/>
      <c r="D78" s="1"/>
      <c r="E78" s="1"/>
      <c r="F78" s="1"/>
      <c r="G78" s="1"/>
      <c r="H78" s="1"/>
      <c r="I78" s="1"/>
      <c r="J78" s="1"/>
      <c r="L78" s="1"/>
      <c r="R78" s="1"/>
      <c r="S78" s="1"/>
      <c r="T78" s="1"/>
      <c r="AB78" s="12">
        <v>2</v>
      </c>
      <c r="AE78" s="12"/>
      <c r="AH78" s="12"/>
      <c r="AK78" s="12"/>
    </row>
    <row r="79" spans="1:56" ht="24" customHeight="1" x14ac:dyDescent="0.25">
      <c r="C79" s="1"/>
      <c r="D79" s="1"/>
      <c r="E79" s="1"/>
      <c r="F79" s="1"/>
      <c r="G79" s="1"/>
      <c r="H79" s="1"/>
      <c r="I79" s="1"/>
      <c r="J79" s="1"/>
      <c r="L79" s="1"/>
      <c r="R79" s="1"/>
      <c r="S79" s="1"/>
      <c r="T79" s="1"/>
      <c r="AB79" s="12">
        <v>1</v>
      </c>
      <c r="AE79" s="12"/>
      <c r="AH79" s="12"/>
      <c r="AK79" s="12"/>
    </row>
    <row r="80" spans="1:56" ht="24" customHeight="1" x14ac:dyDescent="0.25">
      <c r="C80" s="1"/>
      <c r="D80" s="1"/>
      <c r="E80" s="1"/>
      <c r="F80" s="1"/>
      <c r="G80" s="1"/>
      <c r="H80" s="1"/>
      <c r="I80" s="1"/>
      <c r="J80" s="1"/>
      <c r="L80" s="1"/>
      <c r="R80" s="1"/>
      <c r="S80" s="1"/>
      <c r="T80" s="1"/>
      <c r="AB80" s="13">
        <v>1</v>
      </c>
      <c r="AE80" s="13"/>
      <c r="AH80" s="13"/>
      <c r="AK80" s="13"/>
    </row>
    <row r="81" spans="2:56" ht="24" customHeight="1" x14ac:dyDescent="0.35">
      <c r="C81" s="1"/>
      <c r="D81" s="1"/>
      <c r="F81" s="1"/>
      <c r="G81" s="1"/>
      <c r="H81" s="1"/>
      <c r="I81" s="1"/>
      <c r="J81" s="1"/>
      <c r="L81" s="1"/>
      <c r="O81" s="31"/>
      <c r="R81" s="31"/>
      <c r="U81" s="31"/>
      <c r="X81" s="31"/>
      <c r="AA81" s="61" t="s">
        <v>31</v>
      </c>
    </row>
    <row r="82" spans="2:56" ht="24" customHeight="1" x14ac:dyDescent="0.25">
      <c r="C82" s="1"/>
      <c r="D82" s="1"/>
      <c r="E82" s="1"/>
      <c r="F82" s="1"/>
      <c r="G82" s="1"/>
      <c r="H82" s="1"/>
      <c r="I82" s="1"/>
      <c r="J82" s="1"/>
      <c r="L82" s="1"/>
      <c r="M82" s="1"/>
      <c r="N82" s="1" t="s">
        <v>2</v>
      </c>
      <c r="O82" s="8">
        <v>1</v>
      </c>
      <c r="P82" s="7"/>
      <c r="Q82" s="1" t="s">
        <v>3</v>
      </c>
      <c r="R82" s="8">
        <v>2</v>
      </c>
      <c r="S82" s="7"/>
      <c r="T82" s="1" t="s">
        <v>4</v>
      </c>
      <c r="U82" s="8">
        <v>1</v>
      </c>
      <c r="V82" s="7"/>
      <c r="W82" s="1" t="s">
        <v>5</v>
      </c>
      <c r="X82" s="8">
        <v>0</v>
      </c>
      <c r="Y82" s="7"/>
      <c r="AB82" s="33" cm="1">
        <f t="array" ref="AB82:AB84">AB77*$O82:$O84+AB78*$R82:$R84+AB79*$U82:$U84+AB80*$X82:$X84</f>
        <v>10</v>
      </c>
      <c r="AC82" s="7"/>
      <c r="AE82" s="33"/>
      <c r="AF82" s="7"/>
      <c r="AH82" s="33"/>
      <c r="AI82" s="7"/>
      <c r="AK82" s="33"/>
      <c r="AL82" s="7"/>
      <c r="AR82" s="36"/>
    </row>
    <row r="83" spans="2:56" ht="24" customHeight="1" x14ac:dyDescent="0.25">
      <c r="C83" s="1"/>
      <c r="D83" s="1"/>
      <c r="E83" s="1"/>
      <c r="F83" s="1"/>
      <c r="G83" s="1"/>
      <c r="H83" s="1"/>
      <c r="I83" s="1"/>
      <c r="J83" s="1"/>
      <c r="L83" s="1"/>
      <c r="M83" s="1"/>
      <c r="N83" s="1"/>
      <c r="O83" s="9">
        <v>2</v>
      </c>
      <c r="Q83" s="1"/>
      <c r="R83" s="9">
        <v>0</v>
      </c>
      <c r="S83" s="1"/>
      <c r="T83" s="1"/>
      <c r="U83" s="9">
        <v>3</v>
      </c>
      <c r="W83" s="1"/>
      <c r="X83" s="9">
        <v>1</v>
      </c>
      <c r="AB83" s="34">
        <v>14</v>
      </c>
      <c r="AE83" s="34"/>
      <c r="AH83" s="34"/>
      <c r="AK83" s="34"/>
    </row>
    <row r="84" spans="2:56" ht="24" customHeight="1" x14ac:dyDescent="0.35">
      <c r="B84" s="1" t="s">
        <v>32</v>
      </c>
      <c r="C84" s="50"/>
      <c r="D84" s="51"/>
      <c r="E84" s="52"/>
      <c r="F84" s="1"/>
      <c r="G84" s="1"/>
      <c r="H84" s="1"/>
      <c r="I84" s="1"/>
      <c r="J84" s="1"/>
      <c r="L84" s="1"/>
      <c r="M84" s="1"/>
      <c r="N84" s="1"/>
      <c r="O84" s="10">
        <v>1</v>
      </c>
      <c r="Q84" s="1"/>
      <c r="R84" s="10">
        <v>1</v>
      </c>
      <c r="S84" s="1"/>
      <c r="T84" s="1"/>
      <c r="U84" s="10">
        <v>-1</v>
      </c>
      <c r="W84" s="1"/>
      <c r="X84" s="10">
        <v>3</v>
      </c>
      <c r="AB84" s="35">
        <v>9</v>
      </c>
      <c r="AE84" s="35"/>
      <c r="AH84" s="35"/>
      <c r="AK84" s="35"/>
      <c r="AT84" s="31" t="s">
        <v>17</v>
      </c>
      <c r="AU84" s="7"/>
      <c r="AW84" s="31" t="s">
        <v>18</v>
      </c>
      <c r="AX84" s="7"/>
      <c r="AZ84" s="31" t="s">
        <v>19</v>
      </c>
      <c r="BA84" s="7"/>
      <c r="BC84" s="31" t="s">
        <v>20</v>
      </c>
      <c r="BD84" s="7"/>
    </row>
    <row r="85" spans="2:56" ht="24" customHeight="1" x14ac:dyDescent="0.25">
      <c r="C85" s="1"/>
      <c r="D85" s="1"/>
      <c r="E85" s="1"/>
      <c r="F85" s="1"/>
      <c r="G85" s="1"/>
      <c r="H85" s="1"/>
      <c r="I85" s="1"/>
      <c r="J85" s="1"/>
      <c r="L85" s="1"/>
      <c r="M85" s="1"/>
      <c r="N85" s="1"/>
      <c r="Q85" s="1"/>
      <c r="R85" s="1"/>
      <c r="S85" s="1"/>
      <c r="T85" s="1"/>
      <c r="U85" s="1"/>
      <c r="W85" s="1"/>
      <c r="X85" s="1"/>
      <c r="AB85" s="1" t="s">
        <v>17</v>
      </c>
      <c r="AE85" s="1" t="s">
        <v>18</v>
      </c>
      <c r="AH85" s="1" t="s">
        <v>19</v>
      </c>
      <c r="AK85" s="1" t="s">
        <v>20</v>
      </c>
    </row>
    <row r="86" spans="2:56" ht="24" customHeight="1" x14ac:dyDescent="0.25">
      <c r="C86" s="1"/>
      <c r="D86" s="1"/>
      <c r="E86" s="1"/>
      <c r="F86" s="1"/>
      <c r="G86" s="1"/>
      <c r="H86" s="1"/>
      <c r="I86" s="1"/>
      <c r="J86" s="1"/>
      <c r="L86" s="1"/>
    </row>
    <row r="87" spans="2:56" ht="24" customHeight="1" x14ac:dyDescent="0.25">
      <c r="C87" s="1"/>
      <c r="D87" s="1"/>
      <c r="E87" s="1"/>
      <c r="F87" s="1"/>
      <c r="G87" s="1"/>
      <c r="H87" s="1"/>
      <c r="I87" s="1"/>
      <c r="J87" s="1"/>
      <c r="L87" s="1"/>
    </row>
    <row r="88" spans="2:56" ht="24" customHeight="1" x14ac:dyDescent="0.25">
      <c r="C88" s="1"/>
      <c r="D88" s="1"/>
      <c r="E88" s="1"/>
      <c r="F88" s="1"/>
      <c r="G88" s="1"/>
      <c r="H88" s="1"/>
      <c r="I88" s="1"/>
      <c r="J88" s="1"/>
      <c r="L88" s="1"/>
    </row>
    <row r="89" spans="2:56" ht="24" customHeight="1" x14ac:dyDescent="0.25">
      <c r="C89" s="1"/>
      <c r="D89" s="1"/>
      <c r="E89" s="1"/>
      <c r="F89" s="1"/>
      <c r="G89" s="1"/>
      <c r="H89" s="1"/>
      <c r="I89" s="1"/>
      <c r="J89" s="1"/>
      <c r="L89" s="1"/>
    </row>
    <row r="90" spans="2:56" ht="24" customHeight="1" x14ac:dyDescent="0.25">
      <c r="B90" t="s">
        <v>22</v>
      </c>
      <c r="C90" s="58"/>
      <c r="D90" s="59"/>
      <c r="E90" s="60"/>
      <c r="F90" s="1"/>
      <c r="G90" s="1"/>
      <c r="H90" s="1"/>
      <c r="I90" s="1"/>
      <c r="J90" s="1"/>
      <c r="L90" s="1"/>
      <c r="N90" t="s">
        <v>17</v>
      </c>
      <c r="O90" s="33" cm="1">
        <f t="array" ref="O90:O92">AB82:AB84</f>
        <v>10</v>
      </c>
      <c r="P90" s="7"/>
      <c r="Q90" t="s">
        <v>18</v>
      </c>
      <c r="R90" s="33"/>
      <c r="S90" s="7"/>
      <c r="T90" t="s">
        <v>19</v>
      </c>
      <c r="U90" s="33"/>
      <c r="V90" s="7"/>
      <c r="W90" t="s">
        <v>20</v>
      </c>
      <c r="X90" s="33"/>
      <c r="Y90" s="7"/>
    </row>
    <row r="91" spans="2:56" ht="24" customHeight="1" x14ac:dyDescent="0.25">
      <c r="I91" s="1"/>
      <c r="J91" s="1"/>
      <c r="K91" s="1"/>
      <c r="L91" s="1"/>
      <c r="O91" s="34">
        <v>14</v>
      </c>
      <c r="R91" s="34"/>
      <c r="U91" s="34"/>
      <c r="X91" s="34"/>
    </row>
    <row r="92" spans="2:56" ht="24" customHeight="1" x14ac:dyDescent="0.25">
      <c r="I92" s="1"/>
      <c r="J92" s="1"/>
      <c r="K92" s="1"/>
      <c r="L92" s="1"/>
      <c r="O92" s="35">
        <v>9</v>
      </c>
      <c r="R92" s="35"/>
      <c r="U92" s="35"/>
      <c r="X92" s="35"/>
    </row>
    <row r="93" spans="2:56" ht="24" customHeight="1" x14ac:dyDescent="0.25">
      <c r="I93" s="1"/>
      <c r="J93" s="1"/>
      <c r="K93" s="1"/>
      <c r="L93" s="1"/>
      <c r="O93" s="1">
        <v>1</v>
      </c>
      <c r="R93" s="1">
        <v>1</v>
      </c>
      <c r="U93" s="1">
        <v>1</v>
      </c>
      <c r="X93" s="1">
        <v>1</v>
      </c>
    </row>
    <row r="94" spans="2:56" ht="24" customHeight="1" x14ac:dyDescent="0.25">
      <c r="I94" s="1"/>
      <c r="J94" s="1"/>
      <c r="K94" s="1"/>
      <c r="L94" s="1"/>
    </row>
    <row r="95" spans="2:56" ht="24" customHeight="1" x14ac:dyDescent="0.25">
      <c r="I95" s="1"/>
      <c r="J95" s="3" t="s">
        <v>23</v>
      </c>
      <c r="K95" s="1"/>
      <c r="L95" s="1"/>
      <c r="M95" s="1"/>
      <c r="N95" s="3"/>
      <c r="O95" s="1"/>
      <c r="Q95" s="3"/>
      <c r="R95" s="1"/>
      <c r="T95" s="3"/>
      <c r="U95" s="1"/>
      <c r="W95" s="3"/>
      <c r="X95" s="1"/>
    </row>
    <row r="96" spans="2:56" ht="24" customHeight="1" x14ac:dyDescent="0.25">
      <c r="J96" s="1" t="s">
        <v>24</v>
      </c>
      <c r="K96" s="1"/>
      <c r="L96" s="1"/>
      <c r="M96" s="1" t="s">
        <v>25</v>
      </c>
      <c r="N96" s="1"/>
      <c r="O96" s="1"/>
      <c r="Q96" s="1"/>
      <c r="R96" s="1"/>
      <c r="T96" s="1"/>
      <c r="U96" s="1"/>
      <c r="W96" s="1"/>
      <c r="X96" s="1"/>
    </row>
    <row r="97" spans="2:45" ht="24" customHeight="1" x14ac:dyDescent="0.25">
      <c r="J97" s="2">
        <v>1</v>
      </c>
      <c r="K97" s="2">
        <v>-1</v>
      </c>
      <c r="L97" s="2">
        <v>1</v>
      </c>
      <c r="M97" s="14">
        <v>1</v>
      </c>
      <c r="N97" s="1"/>
      <c r="O97" s="11" cm="1">
        <f t="array" ref="O97:O100">MMULT(J97:M100,O90:O93)</f>
        <v>6</v>
      </c>
      <c r="Q97" s="1"/>
      <c r="R97" s="11" t="e" cm="1">
        <f t="array" ref="R97">MMULT(J97:M100,R90:R93)</f>
        <v>#VALUE!</v>
      </c>
      <c r="T97" s="1"/>
      <c r="U97" s="11" t="e" cm="1">
        <f t="array" ref="U97">MMULT(J97:M100,U90:U93)</f>
        <v>#VALUE!</v>
      </c>
      <c r="W97" s="1"/>
      <c r="X97" s="11" t="e" cm="1">
        <f t="array" ref="X97">MMULT(J97:M100,X90:X93)</f>
        <v>#VALUE!</v>
      </c>
    </row>
    <row r="98" spans="2:45" ht="24" customHeight="1" x14ac:dyDescent="0.25">
      <c r="J98" s="2">
        <v>2</v>
      </c>
      <c r="K98" s="2">
        <v>-1</v>
      </c>
      <c r="L98" s="2">
        <v>2</v>
      </c>
      <c r="M98" s="14">
        <v>-3</v>
      </c>
      <c r="N98" s="1"/>
      <c r="O98" s="12">
        <v>21</v>
      </c>
      <c r="Q98" s="1"/>
      <c r="R98" s="12"/>
      <c r="T98" s="1"/>
      <c r="U98" s="12"/>
      <c r="W98" s="1"/>
      <c r="X98" s="12"/>
    </row>
    <row r="99" spans="2:45" ht="24" customHeight="1" x14ac:dyDescent="0.25">
      <c r="J99" s="2">
        <v>1</v>
      </c>
      <c r="K99" s="2">
        <v>0</v>
      </c>
      <c r="L99" s="2">
        <v>1</v>
      </c>
      <c r="M99" s="14">
        <v>2</v>
      </c>
      <c r="N99" s="1"/>
      <c r="O99" s="12">
        <v>21</v>
      </c>
      <c r="Q99" s="1"/>
      <c r="R99" s="12"/>
      <c r="T99" s="1"/>
      <c r="U99" s="12"/>
      <c r="W99" s="1"/>
      <c r="X99" s="12"/>
    </row>
    <row r="100" spans="2:45" ht="24" customHeight="1" x14ac:dyDescent="0.25">
      <c r="J100" s="2">
        <v>0</v>
      </c>
      <c r="K100" s="2">
        <v>2</v>
      </c>
      <c r="L100" s="2">
        <v>-2</v>
      </c>
      <c r="M100" s="14">
        <v>0</v>
      </c>
      <c r="N100" s="1"/>
      <c r="O100" s="13">
        <v>10</v>
      </c>
      <c r="Q100" s="1"/>
      <c r="R100" s="13"/>
      <c r="T100" s="1"/>
      <c r="U100" s="13"/>
      <c r="W100" s="1"/>
      <c r="X100" s="13"/>
    </row>
    <row r="101" spans="2:45" ht="24" customHeight="1" x14ac:dyDescent="0.25">
      <c r="I101" s="1"/>
      <c r="J101" s="1"/>
      <c r="K101" s="1"/>
      <c r="L101" s="1"/>
      <c r="M101" s="1"/>
      <c r="N101" s="1"/>
      <c r="O101" s="1"/>
      <c r="Q101" s="1"/>
      <c r="R101" s="1"/>
      <c r="T101" s="1"/>
      <c r="U101" s="1"/>
      <c r="W101" s="1"/>
      <c r="X101" s="1"/>
    </row>
    <row r="102" spans="2:45" ht="24" customHeight="1" x14ac:dyDescent="0.25">
      <c r="B102" t="s">
        <v>26</v>
      </c>
      <c r="C102" s="53"/>
      <c r="D102" s="54"/>
      <c r="E102" s="54"/>
      <c r="F102" s="55"/>
      <c r="I102" s="1"/>
      <c r="J102" s="1"/>
      <c r="K102" t="s">
        <v>27</v>
      </c>
      <c r="L102" s="1"/>
      <c r="M102" s="1"/>
      <c r="N102" t="s">
        <v>6</v>
      </c>
      <c r="O102" s="15" cm="1">
        <f t="array" ref="O102:O105">_xlfn.MAP(_xlfn.ANCHORARRAY(O97),_xlfn.LAMBDA(_xlpm.x, MAX(_xlpm.x,0)))</f>
        <v>6</v>
      </c>
      <c r="Q102" s="1" t="s">
        <v>7</v>
      </c>
      <c r="R102" s="15" t="e" cm="1">
        <f t="array" ref="R102">_xlfn.MAP(_xlfn.ANCHORARRAY(R97),_xlfn.LAMBDA(_xlpm.x, MAX(_xlpm.x,0)))</f>
        <v>#VALUE!</v>
      </c>
      <c r="T102" t="s">
        <v>8</v>
      </c>
      <c r="U102" s="15" t="e" cm="1">
        <f t="array" ref="U102">_xlfn.MAP(_xlfn.ANCHORARRAY(U97),_xlfn.LAMBDA(_xlpm.x, MAX(_xlpm.x,0)))</f>
        <v>#VALUE!</v>
      </c>
      <c r="W102" t="s">
        <v>9</v>
      </c>
      <c r="X102" s="15" t="e" cm="1">
        <f t="array" ref="X102">_xlfn.MAP(_xlfn.ANCHORARRAY(X97),_xlfn.LAMBDA(_xlpm.x, MAX(_xlpm.x,0)))</f>
        <v>#VALUE!</v>
      </c>
    </row>
    <row r="103" spans="2:45" ht="24" customHeight="1" x14ac:dyDescent="0.25">
      <c r="I103" s="1"/>
      <c r="J103" s="1"/>
      <c r="K103" s="1"/>
      <c r="L103" s="1"/>
      <c r="M103" s="1"/>
      <c r="N103" s="1"/>
      <c r="O103" s="25">
        <v>21</v>
      </c>
      <c r="P103" s="7"/>
      <c r="Q103" s="1"/>
      <c r="R103" s="25"/>
      <c r="S103" s="7"/>
      <c r="T103" s="1"/>
      <c r="U103" s="25"/>
      <c r="V103" s="7"/>
      <c r="W103" s="1"/>
      <c r="X103" s="25"/>
      <c r="Y103" s="7"/>
    </row>
    <row r="104" spans="2:45" ht="24" customHeight="1" x14ac:dyDescent="0.25">
      <c r="I104" s="1"/>
      <c r="J104" s="1"/>
      <c r="K104" s="1"/>
      <c r="L104" s="1"/>
      <c r="M104" s="1"/>
      <c r="N104" s="1"/>
      <c r="O104" s="25">
        <v>21</v>
      </c>
      <c r="Q104" s="1"/>
      <c r="R104" s="25"/>
      <c r="T104" s="1"/>
      <c r="U104" s="25"/>
      <c r="W104" s="1"/>
      <c r="X104" s="25"/>
      <c r="AB104" s="32"/>
      <c r="AS104" s="7"/>
    </row>
    <row r="105" spans="2:45" ht="24" customHeight="1" x14ac:dyDescent="0.25">
      <c r="I105" s="1"/>
      <c r="J105" s="1"/>
      <c r="K105" s="1"/>
      <c r="L105" s="1"/>
      <c r="M105" s="1"/>
      <c r="N105" s="1"/>
      <c r="O105" s="16">
        <v>10</v>
      </c>
      <c r="Q105" s="1"/>
      <c r="R105" s="16"/>
      <c r="T105" s="1"/>
      <c r="U105" s="16"/>
      <c r="W105" s="1"/>
      <c r="X105" s="16"/>
    </row>
    <row r="106" spans="2:45" ht="24" customHeight="1" x14ac:dyDescent="0.25">
      <c r="I106" s="3" t="s">
        <v>23</v>
      </c>
      <c r="J106" s="1"/>
      <c r="K106" s="1"/>
      <c r="L106" s="1"/>
      <c r="M106" s="1"/>
      <c r="N106" s="1"/>
      <c r="O106" s="1">
        <v>1</v>
      </c>
      <c r="Q106" s="1"/>
      <c r="R106" s="1">
        <v>1</v>
      </c>
      <c r="T106" s="1"/>
      <c r="U106" s="1">
        <v>1</v>
      </c>
      <c r="W106" s="1"/>
      <c r="X106" s="1">
        <v>1</v>
      </c>
    </row>
    <row r="107" spans="2:45" ht="24" customHeight="1" x14ac:dyDescent="0.25">
      <c r="I107" s="1" t="s">
        <v>24</v>
      </c>
      <c r="J107" s="1"/>
      <c r="K107" s="1"/>
      <c r="L107" s="1"/>
      <c r="M107" s="1" t="s">
        <v>25</v>
      </c>
      <c r="N107" s="3"/>
      <c r="O107" s="1"/>
      <c r="Q107" s="3"/>
      <c r="R107" s="1"/>
      <c r="T107" s="3"/>
      <c r="U107" s="1"/>
      <c r="W107" s="3"/>
      <c r="X107" s="1"/>
    </row>
    <row r="108" spans="2:45" ht="24" customHeight="1" x14ac:dyDescent="0.25">
      <c r="I108" s="2">
        <v>1</v>
      </c>
      <c r="J108" s="2">
        <v>-1</v>
      </c>
      <c r="K108" s="2">
        <v>0</v>
      </c>
      <c r="L108" s="2">
        <v>0</v>
      </c>
      <c r="M108" s="14">
        <v>5</v>
      </c>
      <c r="O108" s="11" cm="1">
        <f t="array" ref="O108:O109">MMULT($I108:$M109,O102:O106)</f>
        <v>-10</v>
      </c>
      <c r="Q108" s="1"/>
      <c r="R108" s="11" t="e" cm="1">
        <f t="array" ref="R108">MMULT($I108:$M109,R102:R106)</f>
        <v>#VALUE!</v>
      </c>
      <c r="T108" s="1"/>
      <c r="U108" s="11" t="e" cm="1">
        <f t="array" ref="U108">MMULT($I108:$M109,U102:U106)</f>
        <v>#VALUE!</v>
      </c>
      <c r="W108" s="1"/>
      <c r="X108" s="11" t="e" cm="1">
        <f t="array" ref="X108">MMULT($I108:$M109,X102:X106)</f>
        <v>#VALUE!</v>
      </c>
    </row>
    <row r="109" spans="2:45" ht="24" customHeight="1" x14ac:dyDescent="0.25">
      <c r="I109" s="2">
        <v>0</v>
      </c>
      <c r="J109" s="2">
        <v>0</v>
      </c>
      <c r="K109" s="2">
        <v>1</v>
      </c>
      <c r="L109" s="2">
        <v>-1</v>
      </c>
      <c r="M109" s="14">
        <v>-3</v>
      </c>
      <c r="O109" s="13">
        <v>8</v>
      </c>
      <c r="Q109" s="1"/>
      <c r="R109" s="13"/>
      <c r="T109" s="1"/>
      <c r="U109" s="13"/>
      <c r="W109" s="1"/>
      <c r="X109" s="13"/>
    </row>
    <row r="111" spans="2:45" ht="24" customHeight="1" x14ac:dyDescent="0.25">
      <c r="B111" t="s">
        <v>28</v>
      </c>
      <c r="C111" s="56"/>
      <c r="D111" s="57"/>
      <c r="K111" t="s">
        <v>27</v>
      </c>
      <c r="N111" s="27" t="s">
        <v>10</v>
      </c>
      <c r="O111" s="28" cm="1">
        <f t="array" ref="O111:O112">_xlfn.MAP(_xlfn.ANCHORARRAY(O108),_xlfn.LAMBDA(_xlpm.x, MAX(_xlpm.x,0)))</f>
        <v>0</v>
      </c>
      <c r="Q111" s="27" t="s">
        <v>11</v>
      </c>
      <c r="R111" s="28" t="e" cm="1">
        <f t="array" ref="R111">_xlfn.MAP(_xlfn.ANCHORARRAY(R108),_xlfn.LAMBDA(_xlpm.x, MAX(_xlpm.x,0)))</f>
        <v>#VALUE!</v>
      </c>
      <c r="T111" s="26" t="s">
        <v>12</v>
      </c>
      <c r="U111" s="28" t="e" cm="1">
        <f t="array" ref="U111">_xlfn.MAP(_xlfn.ANCHORARRAY(U108),_xlfn.LAMBDA(_xlpm.x, MAX(_xlpm.x,0)))</f>
        <v>#VALUE!</v>
      </c>
      <c r="W111" s="26" t="s">
        <v>13</v>
      </c>
      <c r="X111" s="28" t="e" cm="1">
        <f t="array" ref="X111">_xlfn.MAP(_xlfn.ANCHORARRAY(X108),_xlfn.LAMBDA(_xlpm.x, MAX(_xlpm.x,0)))</f>
        <v>#VALUE!</v>
      </c>
    </row>
    <row r="112" spans="2:45" ht="24" customHeight="1" x14ac:dyDescent="0.25">
      <c r="O112" s="29">
        <v>8</v>
      </c>
      <c r="P112" s="7"/>
      <c r="R112" s="29"/>
      <c r="S112" s="7"/>
      <c r="U112" s="29"/>
      <c r="V112" s="7"/>
      <c r="X112" s="29"/>
      <c r="Y112" s="7"/>
    </row>
    <row r="117" spans="1:19" s="5" customFormat="1" ht="24" customHeight="1" x14ac:dyDescent="0.35">
      <c r="A117" s="4" t="s">
        <v>33</v>
      </c>
    </row>
    <row r="119" spans="1:19" ht="24" customHeight="1" x14ac:dyDescent="0.25">
      <c r="D119" s="1"/>
      <c r="E119" s="1"/>
      <c r="G119" s="1"/>
      <c r="M119" s="1"/>
      <c r="N119" s="1"/>
      <c r="O119" t="s">
        <v>30</v>
      </c>
    </row>
    <row r="120" spans="1:19" ht="24" customHeight="1" x14ac:dyDescent="0.25">
      <c r="D120" s="1"/>
      <c r="E120" s="1"/>
      <c r="G120" s="1"/>
      <c r="M120" s="1"/>
      <c r="N120" s="1"/>
      <c r="P120" s="11">
        <v>5</v>
      </c>
      <c r="Q120" s="11">
        <v>2</v>
      </c>
      <c r="R120" s="11">
        <v>1</v>
      </c>
      <c r="S120" s="11">
        <v>1</v>
      </c>
    </row>
    <row r="121" spans="1:19" ht="24" customHeight="1" x14ac:dyDescent="0.25">
      <c r="D121" s="1"/>
      <c r="E121" s="1"/>
      <c r="G121" s="1"/>
      <c r="M121" s="1"/>
      <c r="N121" s="1"/>
      <c r="P121" s="12">
        <v>2</v>
      </c>
      <c r="Q121" s="12">
        <v>5</v>
      </c>
      <c r="R121" s="12">
        <v>2</v>
      </c>
      <c r="S121" s="12">
        <v>1</v>
      </c>
    </row>
    <row r="122" spans="1:19" ht="24" customHeight="1" x14ac:dyDescent="0.25">
      <c r="D122" s="1"/>
      <c r="E122" s="1"/>
      <c r="G122" s="1"/>
      <c r="M122" s="1"/>
      <c r="N122" s="1"/>
      <c r="P122" s="12">
        <v>1</v>
      </c>
      <c r="Q122" s="12">
        <v>2</v>
      </c>
      <c r="R122" s="12">
        <v>5</v>
      </c>
      <c r="S122" s="12">
        <v>2</v>
      </c>
    </row>
    <row r="123" spans="1:19" ht="24" customHeight="1" x14ac:dyDescent="0.25">
      <c r="D123" s="1"/>
      <c r="E123" s="1"/>
      <c r="G123" s="1"/>
      <c r="M123" s="1"/>
      <c r="N123" s="1"/>
      <c r="P123" s="13">
        <v>1</v>
      </c>
      <c r="Q123" s="13">
        <v>1</v>
      </c>
      <c r="R123" s="13">
        <v>1</v>
      </c>
      <c r="S123" s="13">
        <v>5</v>
      </c>
    </row>
    <row r="124" spans="1:19" ht="24" customHeight="1" x14ac:dyDescent="0.25">
      <c r="D124" s="1"/>
      <c r="E124" s="1"/>
      <c r="G124" s="1"/>
      <c r="J124" s="1" t="s">
        <v>2</v>
      </c>
      <c r="K124" s="1" t="s">
        <v>3</v>
      </c>
      <c r="L124" s="1" t="s">
        <v>4</v>
      </c>
      <c r="M124" s="1" t="s">
        <v>5</v>
      </c>
      <c r="N124" s="1"/>
      <c r="O124" t="s">
        <v>31</v>
      </c>
    </row>
    <row r="125" spans="1:19" ht="24" customHeight="1" x14ac:dyDescent="0.25">
      <c r="D125" s="1"/>
      <c r="E125" s="1"/>
      <c r="G125" s="1"/>
      <c r="H125" s="1"/>
      <c r="J125" s="8">
        <v>1</v>
      </c>
      <c r="K125" s="8">
        <v>2</v>
      </c>
      <c r="L125" s="8">
        <v>1</v>
      </c>
      <c r="M125" s="8">
        <v>0</v>
      </c>
      <c r="N125" s="1"/>
      <c r="P125" s="33"/>
      <c r="Q125" s="33"/>
      <c r="R125" s="33"/>
      <c r="S125" s="33"/>
    </row>
    <row r="126" spans="1:19" ht="24" customHeight="1" x14ac:dyDescent="0.25">
      <c r="D126" s="1"/>
      <c r="E126" s="1"/>
      <c r="G126" s="1"/>
      <c r="H126" s="1"/>
      <c r="I126" s="1"/>
      <c r="J126" s="9">
        <v>2</v>
      </c>
      <c r="K126" s="9">
        <v>0</v>
      </c>
      <c r="L126" s="9">
        <v>3</v>
      </c>
      <c r="M126" s="9">
        <v>1</v>
      </c>
      <c r="N126" s="1"/>
      <c r="P126" s="34"/>
      <c r="Q126" s="34"/>
      <c r="R126" s="34"/>
      <c r="S126" s="34"/>
    </row>
    <row r="127" spans="1:19" ht="24" customHeight="1" x14ac:dyDescent="0.25">
      <c r="D127" s="1"/>
      <c r="E127" s="1"/>
      <c r="G127" s="1"/>
      <c r="H127" s="1"/>
      <c r="I127" s="1"/>
      <c r="J127" s="10">
        <v>1</v>
      </c>
      <c r="K127" s="10">
        <v>1</v>
      </c>
      <c r="L127" s="10">
        <v>-1</v>
      </c>
      <c r="M127" s="10">
        <v>3</v>
      </c>
      <c r="N127" s="1"/>
      <c r="P127" s="35"/>
      <c r="Q127" s="35"/>
      <c r="R127" s="35"/>
      <c r="S127" s="35"/>
    </row>
    <row r="128" spans="1:19" ht="24" customHeight="1" x14ac:dyDescent="0.25">
      <c r="D128" s="1"/>
      <c r="E128" s="1"/>
      <c r="G128" s="1"/>
      <c r="H128" s="1"/>
      <c r="I128" s="1"/>
      <c r="L128" s="1"/>
      <c r="M128" s="1"/>
      <c r="N128" s="1"/>
      <c r="P128" s="1" t="s">
        <v>17</v>
      </c>
      <c r="Q128" s="1" t="s">
        <v>18</v>
      </c>
      <c r="R128" s="1" t="s">
        <v>19</v>
      </c>
      <c r="S128" s="1" t="s">
        <v>20</v>
      </c>
    </row>
    <row r="129" spans="4:30" ht="24" customHeight="1" x14ac:dyDescent="0.25">
      <c r="D129" s="1"/>
      <c r="E129" s="1"/>
      <c r="G129" s="1"/>
      <c r="H129" s="1"/>
      <c r="I129" s="1"/>
      <c r="L129" s="1"/>
      <c r="M129" s="1"/>
      <c r="N129" s="1"/>
      <c r="AA129" s="1"/>
      <c r="AB129" s="1"/>
      <c r="AC129" s="1"/>
      <c r="AD129" s="1"/>
    </row>
    <row r="130" spans="4:30" ht="24" customHeight="1" x14ac:dyDescent="0.25">
      <c r="D130" s="1"/>
      <c r="E130" s="1"/>
      <c r="G130" s="1"/>
      <c r="J130" s="1" t="s">
        <v>17</v>
      </c>
      <c r="K130" s="1" t="s">
        <v>18</v>
      </c>
      <c r="L130" s="1" t="s">
        <v>19</v>
      </c>
      <c r="M130" s="1" t="s">
        <v>20</v>
      </c>
    </row>
    <row r="131" spans="4:30" ht="24" customHeight="1" x14ac:dyDescent="0.25">
      <c r="D131" s="1"/>
      <c r="E131" s="1"/>
      <c r="G131" s="1"/>
      <c r="J131" s="33"/>
      <c r="K131" s="33"/>
      <c r="L131" s="33"/>
      <c r="M131" s="33"/>
    </row>
    <row r="132" spans="4:30" ht="24" customHeight="1" x14ac:dyDescent="0.25">
      <c r="D132" s="1"/>
      <c r="E132" s="1"/>
      <c r="F132" s="1"/>
      <c r="G132" s="1"/>
      <c r="J132" s="34"/>
      <c r="K132" s="34"/>
      <c r="L132" s="34"/>
      <c r="M132" s="34"/>
    </row>
    <row r="133" spans="4:30" ht="24" customHeight="1" x14ac:dyDescent="0.25">
      <c r="D133" s="1"/>
      <c r="E133" s="1"/>
      <c r="F133" s="1"/>
      <c r="G133" s="1"/>
      <c r="J133" s="35"/>
      <c r="K133" s="35"/>
      <c r="L133" s="35"/>
      <c r="M133" s="35"/>
    </row>
    <row r="134" spans="4:30" ht="24" customHeight="1" x14ac:dyDescent="0.25">
      <c r="D134" s="1"/>
      <c r="E134" s="1"/>
      <c r="F134" s="1"/>
      <c r="G134" s="1"/>
      <c r="J134" s="1">
        <v>1</v>
      </c>
      <c r="K134" s="1">
        <v>1</v>
      </c>
      <c r="L134" s="1">
        <v>1</v>
      </c>
      <c r="M134" s="1">
        <v>1</v>
      </c>
    </row>
    <row r="135" spans="4:30" ht="24" customHeight="1" x14ac:dyDescent="0.25">
      <c r="D135" s="1"/>
      <c r="E135" s="1"/>
      <c r="F135" s="1"/>
      <c r="G135" s="1"/>
    </row>
    <row r="136" spans="4:30" ht="24" customHeight="1" x14ac:dyDescent="0.25">
      <c r="D136" s="1"/>
      <c r="E136" s="3" t="s">
        <v>23</v>
      </c>
      <c r="F136" s="1"/>
      <c r="G136" s="1"/>
      <c r="H136" s="1"/>
      <c r="I136" s="3" t="s">
        <v>34</v>
      </c>
      <c r="J136" s="1"/>
      <c r="L136" s="3"/>
      <c r="M136" s="1"/>
      <c r="N136" s="1"/>
      <c r="O136" s="3"/>
      <c r="P136" s="3"/>
      <c r="Q136" s="3"/>
      <c r="R136" s="3"/>
      <c r="S136" s="3"/>
      <c r="T136" s="3"/>
      <c r="U136" s="3"/>
    </row>
    <row r="137" spans="4:30" ht="24" customHeight="1" x14ac:dyDescent="0.25">
      <c r="E137" s="1" t="s">
        <v>24</v>
      </c>
      <c r="F137" s="1"/>
      <c r="G137" s="1"/>
      <c r="H137" s="1" t="s">
        <v>25</v>
      </c>
      <c r="I137" s="1"/>
      <c r="J137" s="1"/>
      <c r="L137" s="1"/>
      <c r="M137" s="1"/>
      <c r="N137" s="1"/>
      <c r="O137" s="3"/>
      <c r="P137" s="3"/>
      <c r="Q137" s="3"/>
      <c r="R137" s="3"/>
      <c r="S137" s="3"/>
      <c r="T137" s="3"/>
      <c r="U137" s="3"/>
    </row>
    <row r="138" spans="4:30" ht="24" customHeight="1" x14ac:dyDescent="0.25">
      <c r="E138" s="2">
        <v>1</v>
      </c>
      <c r="F138" s="2">
        <v>-1</v>
      </c>
      <c r="G138" s="2">
        <v>1</v>
      </c>
      <c r="H138" s="14">
        <v>1</v>
      </c>
      <c r="I138" s="1"/>
      <c r="J138" s="11" t="e" cm="1">
        <f t="array" ref="J138">MMULT(E138:H141,J131:M134)</f>
        <v>#VALUE!</v>
      </c>
      <c r="K138" s="11"/>
      <c r="L138" s="11"/>
      <c r="M138" s="11"/>
      <c r="N138" s="1"/>
      <c r="O138" s="3"/>
      <c r="P138" s="3"/>
      <c r="Q138" s="3"/>
      <c r="R138" s="3"/>
      <c r="S138" s="3"/>
      <c r="T138" s="3"/>
      <c r="U138" s="3"/>
    </row>
    <row r="139" spans="4:30" ht="24" customHeight="1" x14ac:dyDescent="0.25">
      <c r="E139" s="2">
        <v>2</v>
      </c>
      <c r="F139" s="2">
        <v>-1</v>
      </c>
      <c r="G139" s="2">
        <v>2</v>
      </c>
      <c r="H139" s="14">
        <v>-3</v>
      </c>
      <c r="I139" s="1"/>
      <c r="J139" s="12"/>
      <c r="K139" s="12"/>
      <c r="L139" s="12"/>
      <c r="M139" s="12"/>
      <c r="N139" s="1"/>
      <c r="O139" s="3"/>
      <c r="P139" s="3"/>
      <c r="Q139" s="3"/>
      <c r="R139" s="3"/>
      <c r="S139" s="3"/>
      <c r="T139" s="3"/>
      <c r="U139" s="3"/>
    </row>
    <row r="140" spans="4:30" ht="24" customHeight="1" x14ac:dyDescent="0.25">
      <c r="E140" s="2">
        <v>1</v>
      </c>
      <c r="F140" s="2">
        <v>0</v>
      </c>
      <c r="G140" s="2">
        <v>1</v>
      </c>
      <c r="H140" s="14">
        <v>2</v>
      </c>
      <c r="I140" s="1"/>
      <c r="J140" s="12"/>
      <c r="K140" s="12"/>
      <c r="L140" s="12"/>
      <c r="M140" s="12"/>
      <c r="N140" s="1"/>
      <c r="O140" s="3"/>
      <c r="P140" s="3"/>
      <c r="Q140" s="3"/>
      <c r="R140" s="3"/>
      <c r="S140" s="3"/>
      <c r="T140" s="3"/>
      <c r="U140" s="3"/>
    </row>
    <row r="141" spans="4:30" ht="24" customHeight="1" x14ac:dyDescent="0.25">
      <c r="E141" s="2">
        <v>0</v>
      </c>
      <c r="F141" s="2">
        <v>2</v>
      </c>
      <c r="G141" s="2">
        <v>-2</v>
      </c>
      <c r="H141" s="14">
        <v>0</v>
      </c>
      <c r="I141" s="1"/>
      <c r="J141" s="13"/>
      <c r="K141" s="13"/>
      <c r="L141" s="13"/>
      <c r="M141" s="13"/>
      <c r="N141" s="1"/>
      <c r="O141" s="3"/>
      <c r="P141" s="3"/>
      <c r="Q141" s="3"/>
      <c r="R141" s="3"/>
      <c r="S141" s="3"/>
      <c r="T141" s="3"/>
      <c r="U141" s="3"/>
    </row>
    <row r="142" spans="4:30" ht="24" customHeight="1" x14ac:dyDescent="0.25">
      <c r="D142" s="1"/>
      <c r="E142" s="1"/>
      <c r="F142" s="1"/>
      <c r="G142" s="1"/>
      <c r="H142" s="1"/>
      <c r="I142" s="1"/>
      <c r="J142" s="1"/>
      <c r="L142" s="1"/>
      <c r="M142" s="1"/>
      <c r="N142" s="1"/>
      <c r="O142" s="3"/>
      <c r="P142" s="3"/>
      <c r="Q142" s="3"/>
      <c r="R142" s="3"/>
      <c r="S142" s="3"/>
      <c r="T142" s="3"/>
      <c r="U142" s="3"/>
    </row>
    <row r="143" spans="4:30" ht="24" customHeight="1" x14ac:dyDescent="0.25">
      <c r="D143" s="1"/>
      <c r="E143" s="1"/>
      <c r="F143" t="s">
        <v>27</v>
      </c>
      <c r="G143" s="1"/>
      <c r="H143" s="1"/>
      <c r="I143" s="1"/>
      <c r="J143" s="15" t="e" cm="1">
        <f t="array" ref="J143">_xlfn.MAP(_xlfn.ANCHORARRAY(J138),_xlfn.LAMBDA(_xlpm.x, MAX(_xlpm.x,0)))</f>
        <v>#VALUE!</v>
      </c>
      <c r="K143" s="15"/>
      <c r="L143" s="15"/>
      <c r="M143" s="15"/>
      <c r="N143" s="1"/>
      <c r="O143" s="3"/>
      <c r="P143" s="3"/>
      <c r="Q143" s="3"/>
      <c r="R143" s="3"/>
      <c r="S143" s="3"/>
      <c r="T143" s="3"/>
      <c r="U143" s="3"/>
    </row>
    <row r="144" spans="4:30" ht="24" customHeight="1" x14ac:dyDescent="0.25">
      <c r="D144" s="1"/>
      <c r="E144" s="1"/>
      <c r="F144" s="1"/>
      <c r="G144" s="1"/>
      <c r="H144" s="1"/>
      <c r="I144" s="1"/>
      <c r="J144" s="25"/>
      <c r="K144" s="25"/>
      <c r="L144" s="25"/>
      <c r="M144" s="25"/>
      <c r="N144" s="1"/>
      <c r="O144" s="3"/>
      <c r="P144" s="3"/>
      <c r="Q144" s="3"/>
      <c r="R144" s="3"/>
      <c r="S144" s="3"/>
      <c r="T144" s="3"/>
      <c r="U144" s="3"/>
    </row>
    <row r="145" spans="1:28" ht="24" customHeight="1" x14ac:dyDescent="0.25">
      <c r="D145" s="1"/>
      <c r="E145" s="1"/>
      <c r="F145" s="1"/>
      <c r="G145" s="1"/>
      <c r="H145" s="1"/>
      <c r="I145" s="1"/>
      <c r="J145" s="25"/>
      <c r="K145" s="25"/>
      <c r="L145" s="25"/>
      <c r="M145" s="25"/>
      <c r="N145" s="1"/>
      <c r="O145" s="3"/>
      <c r="P145" s="3"/>
      <c r="Q145" s="3"/>
      <c r="R145" s="3"/>
      <c r="S145" s="3"/>
      <c r="T145" s="3"/>
      <c r="U145" s="3"/>
      <c r="AB145" s="32"/>
    </row>
    <row r="146" spans="1:28" ht="24" customHeight="1" x14ac:dyDescent="0.25">
      <c r="D146" s="1"/>
      <c r="E146" s="1"/>
      <c r="F146" s="1"/>
      <c r="G146" s="1"/>
      <c r="H146" s="1"/>
      <c r="I146" s="1"/>
      <c r="J146" s="16"/>
      <c r="K146" s="16"/>
      <c r="L146" s="16"/>
      <c r="M146" s="16"/>
      <c r="N146" s="1"/>
      <c r="O146" s="3"/>
      <c r="P146" s="3"/>
      <c r="Q146" s="3"/>
      <c r="R146" s="3"/>
      <c r="S146" s="3"/>
      <c r="T146" s="3"/>
      <c r="U146" s="3"/>
    </row>
    <row r="147" spans="1:28" ht="24" customHeight="1" x14ac:dyDescent="0.25">
      <c r="D147" s="3" t="s">
        <v>23</v>
      </c>
      <c r="E147" s="1"/>
      <c r="F147" s="1"/>
      <c r="G147" s="1"/>
      <c r="H147" s="1"/>
      <c r="I147" s="1"/>
      <c r="J147" s="1">
        <v>1</v>
      </c>
      <c r="K147" s="1">
        <v>1</v>
      </c>
      <c r="L147" s="1">
        <v>1</v>
      </c>
      <c r="M147" s="1">
        <v>1</v>
      </c>
      <c r="N147" s="1"/>
      <c r="O147" s="3"/>
      <c r="P147" s="3"/>
      <c r="Q147" s="3"/>
      <c r="R147" s="3"/>
      <c r="S147" s="3"/>
      <c r="T147" s="3"/>
      <c r="U147" s="3"/>
    </row>
    <row r="148" spans="1:28" ht="24" customHeight="1" x14ac:dyDescent="0.25">
      <c r="D148" s="1" t="s">
        <v>24</v>
      </c>
      <c r="E148" s="1"/>
      <c r="F148" s="1"/>
      <c r="G148" s="1"/>
      <c r="H148" s="1" t="s">
        <v>25</v>
      </c>
      <c r="I148" s="3"/>
      <c r="J148" s="1"/>
      <c r="L148" s="3"/>
      <c r="M148" s="1"/>
      <c r="N148" s="1"/>
      <c r="O148" s="3"/>
      <c r="P148" s="3"/>
      <c r="Q148" s="3"/>
      <c r="R148" s="3"/>
      <c r="S148" s="3"/>
      <c r="T148" s="3"/>
      <c r="U148" s="3"/>
    </row>
    <row r="149" spans="1:28" ht="24" customHeight="1" x14ac:dyDescent="0.25">
      <c r="D149" s="2">
        <v>1</v>
      </c>
      <c r="E149" s="2">
        <v>-1</v>
      </c>
      <c r="F149" s="2">
        <v>0</v>
      </c>
      <c r="G149" s="2">
        <v>0</v>
      </c>
      <c r="H149" s="14">
        <v>5</v>
      </c>
      <c r="J149" s="11" t="e" cm="1">
        <f t="array" ref="J149">MMULT($D149:$H150,J143:M147)</f>
        <v>#VALUE!</v>
      </c>
      <c r="K149" s="11"/>
      <c r="L149" s="11"/>
      <c r="M149" s="11"/>
      <c r="N149" s="1"/>
      <c r="O149" s="3"/>
      <c r="P149" s="3"/>
      <c r="Q149" s="3"/>
      <c r="R149" s="3"/>
      <c r="S149" s="3"/>
      <c r="T149" s="3"/>
      <c r="U149" s="3"/>
    </row>
    <row r="150" spans="1:28" ht="24" customHeight="1" x14ac:dyDescent="0.25">
      <c r="D150" s="2">
        <v>0</v>
      </c>
      <c r="E150" s="2">
        <v>0</v>
      </c>
      <c r="F150" s="2">
        <v>1</v>
      </c>
      <c r="G150" s="2">
        <v>-1</v>
      </c>
      <c r="H150" s="14">
        <v>-3</v>
      </c>
      <c r="J150" s="13"/>
      <c r="K150" s="13"/>
      <c r="L150" s="13"/>
      <c r="M150" s="13"/>
      <c r="N150" s="1"/>
      <c r="O150" s="3"/>
      <c r="P150" s="3"/>
      <c r="Q150" s="3"/>
      <c r="R150" s="3"/>
      <c r="S150" s="3"/>
      <c r="T150" s="3"/>
      <c r="U150" s="3"/>
    </row>
    <row r="151" spans="1:28" ht="24" customHeight="1" x14ac:dyDescent="0.25">
      <c r="O151" s="3"/>
      <c r="P151" s="3"/>
      <c r="Q151" s="3"/>
      <c r="R151" s="3"/>
      <c r="S151" s="3"/>
      <c r="T151" s="3"/>
      <c r="U151" s="3"/>
    </row>
    <row r="152" spans="1:28" ht="24" customHeight="1" x14ac:dyDescent="0.25">
      <c r="F152" t="s">
        <v>27</v>
      </c>
      <c r="J152" s="28" t="e" cm="1">
        <f t="array" ref="J152">_xlfn.MAP(_xlfn.ANCHORARRAY(J149),_xlfn.LAMBDA(_xlpm.x, MAX(_xlpm.x,0)))</f>
        <v>#VALUE!</v>
      </c>
      <c r="K152" s="28"/>
      <c r="L152" s="28"/>
      <c r="M152" s="28"/>
      <c r="O152" s="3"/>
      <c r="P152" s="3"/>
      <c r="Q152" s="3"/>
      <c r="R152" s="3"/>
      <c r="S152" s="3"/>
      <c r="T152" s="3"/>
      <c r="U152" s="3"/>
    </row>
    <row r="153" spans="1:28" ht="24" customHeight="1" x14ac:dyDescent="0.25">
      <c r="I153" s="27"/>
      <c r="J153" s="29"/>
      <c r="K153" s="29"/>
      <c r="L153" s="29"/>
      <c r="M153" s="29"/>
      <c r="O153" s="3"/>
      <c r="P153" s="3"/>
      <c r="Q153" s="3"/>
      <c r="R153" s="3"/>
      <c r="S153" s="3"/>
      <c r="T153" s="3"/>
      <c r="U153" s="3"/>
    </row>
    <row r="154" spans="1:28" ht="24" customHeight="1" x14ac:dyDescent="0.25">
      <c r="O154" s="3"/>
      <c r="P154" s="3"/>
      <c r="Q154" s="3"/>
      <c r="R154" s="3"/>
      <c r="S154" s="3"/>
      <c r="T154" s="3"/>
      <c r="U154" s="3"/>
    </row>
    <row r="155" spans="1:28" ht="24" customHeight="1" x14ac:dyDescent="0.25">
      <c r="O155" s="3"/>
      <c r="P155" s="3"/>
      <c r="Q155" s="3"/>
      <c r="R155" s="3"/>
      <c r="S155" s="3"/>
      <c r="T155" s="3"/>
      <c r="U155" s="3"/>
    </row>
    <row r="156" spans="1:28" s="5" customFormat="1" ht="24" customHeight="1" x14ac:dyDescent="0.35">
      <c r="A156" s="4" t="s">
        <v>35</v>
      </c>
    </row>
    <row r="158" spans="1:28" ht="24" customHeight="1" x14ac:dyDescent="0.25">
      <c r="R158" t="s">
        <v>36</v>
      </c>
      <c r="S158" s="1" t="s">
        <v>37</v>
      </c>
      <c r="T158" s="1" t="s">
        <v>38</v>
      </c>
      <c r="U158" s="1" t="s">
        <v>39</v>
      </c>
      <c r="V158" s="1" t="s">
        <v>40</v>
      </c>
    </row>
    <row r="159" spans="1:28" ht="24" customHeight="1" x14ac:dyDescent="0.25">
      <c r="S159" s="8"/>
      <c r="T159" s="8"/>
      <c r="U159" s="8"/>
      <c r="V159" s="8"/>
    </row>
    <row r="160" spans="1:28" ht="24" customHeight="1" x14ac:dyDescent="0.25">
      <c r="S160" s="9"/>
      <c r="T160" s="9"/>
      <c r="U160" s="9"/>
      <c r="V160" s="9"/>
    </row>
    <row r="161" spans="1:25" ht="24" customHeight="1" x14ac:dyDescent="0.25">
      <c r="S161" s="10"/>
      <c r="T161" s="10"/>
      <c r="U161" s="10"/>
      <c r="V161" s="10"/>
    </row>
    <row r="163" spans="1:25" ht="24" customHeight="1" x14ac:dyDescent="0.25">
      <c r="J163" s="1"/>
      <c r="K163" s="1"/>
      <c r="M163" t="s">
        <v>41</v>
      </c>
      <c r="S163" t="s">
        <v>42</v>
      </c>
    </row>
    <row r="164" spans="1:25" ht="24" customHeight="1" x14ac:dyDescent="0.25">
      <c r="J164" s="1"/>
      <c r="K164" s="1"/>
      <c r="M164" t="s">
        <v>2</v>
      </c>
      <c r="N164" s="37"/>
      <c r="O164" s="38"/>
      <c r="P164" s="39"/>
      <c r="S164" s="11"/>
      <c r="T164" s="11"/>
      <c r="U164" s="11"/>
      <c r="V164" s="11"/>
    </row>
    <row r="165" spans="1:25" ht="24" customHeight="1" x14ac:dyDescent="0.25">
      <c r="J165" s="1"/>
      <c r="K165" s="1"/>
      <c r="M165" t="s">
        <v>3</v>
      </c>
      <c r="N165" s="37"/>
      <c r="O165" s="38"/>
      <c r="P165" s="39"/>
      <c r="S165" s="12"/>
      <c r="T165" s="12"/>
      <c r="U165" s="12"/>
      <c r="V165" s="12"/>
    </row>
    <row r="166" spans="1:25" ht="24" customHeight="1" x14ac:dyDescent="0.25">
      <c r="J166" s="1"/>
      <c r="K166" s="1"/>
      <c r="M166" t="s">
        <v>4</v>
      </c>
      <c r="N166" s="37"/>
      <c r="O166" s="38"/>
      <c r="P166" s="39"/>
      <c r="S166" s="12"/>
      <c r="T166" s="12"/>
      <c r="U166" s="12"/>
      <c r="V166" s="12"/>
    </row>
    <row r="167" spans="1:25" ht="24" customHeight="1" x14ac:dyDescent="0.25">
      <c r="J167" s="1"/>
      <c r="K167" s="1"/>
      <c r="M167" t="s">
        <v>5</v>
      </c>
      <c r="N167" s="37"/>
      <c r="O167" s="38"/>
      <c r="P167" s="39"/>
      <c r="S167" s="13"/>
      <c r="T167" s="13"/>
      <c r="U167" s="13"/>
      <c r="V167" s="13"/>
    </row>
    <row r="168" spans="1:25" ht="24" customHeight="1" x14ac:dyDescent="0.25">
      <c r="F168" s="1" t="s">
        <v>36</v>
      </c>
      <c r="G168" s="1" t="s">
        <v>37</v>
      </c>
      <c r="H168" s="1" t="s">
        <v>38</v>
      </c>
      <c r="I168" s="1" t="s">
        <v>39</v>
      </c>
      <c r="J168" s="1" t="s">
        <v>40</v>
      </c>
      <c r="K168" s="1"/>
      <c r="S168" t="s">
        <v>31</v>
      </c>
    </row>
    <row r="169" spans="1:25" ht="24" customHeight="1" x14ac:dyDescent="0.25">
      <c r="G169" s="8">
        <v>1</v>
      </c>
      <c r="H169" s="8">
        <v>2</v>
      </c>
      <c r="I169" s="8">
        <v>1</v>
      </c>
      <c r="J169" s="8">
        <v>0</v>
      </c>
      <c r="K169" s="1"/>
      <c r="S169" s="33"/>
      <c r="T169" s="33"/>
      <c r="U169" s="33"/>
      <c r="V169" s="33"/>
    </row>
    <row r="170" spans="1:25" ht="24" customHeight="1" x14ac:dyDescent="0.25">
      <c r="G170" s="9">
        <v>2</v>
      </c>
      <c r="H170" s="9">
        <v>0</v>
      </c>
      <c r="I170" s="9">
        <v>3</v>
      </c>
      <c r="J170" s="9">
        <v>1</v>
      </c>
      <c r="K170" s="1"/>
      <c r="S170" s="34"/>
      <c r="T170" s="34"/>
      <c r="U170" s="34"/>
      <c r="V170" s="34"/>
    </row>
    <row r="171" spans="1:25" ht="24" customHeight="1" x14ac:dyDescent="0.25">
      <c r="G171" s="10">
        <v>1</v>
      </c>
      <c r="H171" s="10">
        <v>1</v>
      </c>
      <c r="I171" s="10">
        <v>-1</v>
      </c>
      <c r="J171" s="10">
        <v>3</v>
      </c>
      <c r="K171" s="1"/>
      <c r="S171" s="35"/>
      <c r="T171" s="35"/>
      <c r="U171" s="35"/>
      <c r="V171" s="35"/>
    </row>
    <row r="172" spans="1:25" ht="24" customHeight="1" x14ac:dyDescent="0.25">
      <c r="I172" s="1"/>
      <c r="J172" s="1"/>
      <c r="K172" s="1"/>
      <c r="S172" s="1" t="s">
        <v>17</v>
      </c>
      <c r="T172" s="1" t="s">
        <v>18</v>
      </c>
      <c r="U172" s="1" t="s">
        <v>19</v>
      </c>
      <c r="V172" s="1" t="s">
        <v>20</v>
      </c>
    </row>
    <row r="173" spans="1:25" ht="24" customHeight="1" x14ac:dyDescent="0.25">
      <c r="L173" s="1"/>
      <c r="M173" s="1"/>
      <c r="N173" s="1"/>
      <c r="V173" s="1"/>
      <c r="W173" s="1"/>
      <c r="X173" s="1"/>
      <c r="Y173" s="1"/>
    </row>
    <row r="175" spans="1:25" s="5" customFormat="1" ht="24" customHeight="1" x14ac:dyDescent="0.35">
      <c r="A175" s="4" t="s">
        <v>43</v>
      </c>
    </row>
    <row r="177" spans="6:32" ht="24" customHeight="1" x14ac:dyDescent="0.25">
      <c r="R177" t="s">
        <v>36</v>
      </c>
      <c r="S177" s="1" t="s">
        <v>37</v>
      </c>
      <c r="T177" s="1" t="s">
        <v>38</v>
      </c>
      <c r="U177" s="1" t="s">
        <v>39</v>
      </c>
      <c r="V177" s="1" t="s">
        <v>40</v>
      </c>
    </row>
    <row r="178" spans="6:32" ht="24" customHeight="1" x14ac:dyDescent="0.25">
      <c r="S178" s="8">
        <v>1</v>
      </c>
      <c r="T178" s="8">
        <v>2</v>
      </c>
      <c r="U178" s="8">
        <v>1</v>
      </c>
      <c r="V178" s="8">
        <v>0</v>
      </c>
    </row>
    <row r="179" spans="6:32" ht="24" customHeight="1" x14ac:dyDescent="0.25">
      <c r="S179" s="9">
        <v>2</v>
      </c>
      <c r="T179" s="9">
        <v>0</v>
      </c>
      <c r="U179" s="9">
        <v>3</v>
      </c>
      <c r="V179" s="9">
        <v>1</v>
      </c>
    </row>
    <row r="180" spans="6:32" ht="24" customHeight="1" x14ac:dyDescent="0.25">
      <c r="S180" s="10">
        <v>1</v>
      </c>
      <c r="T180" s="10">
        <v>1</v>
      </c>
      <c r="U180" s="10">
        <v>-1</v>
      </c>
      <c r="V180" s="10">
        <v>3</v>
      </c>
    </row>
    <row r="182" spans="6:32" ht="24" customHeight="1" x14ac:dyDescent="0.25">
      <c r="J182" s="1"/>
      <c r="K182" s="1"/>
      <c r="M182" t="s">
        <v>41</v>
      </c>
      <c r="S182" t="s">
        <v>44</v>
      </c>
      <c r="X182" t="s">
        <v>45</v>
      </c>
      <c r="AC182" t="s">
        <v>46</v>
      </c>
    </row>
    <row r="183" spans="6:32" ht="24" customHeight="1" x14ac:dyDescent="0.25">
      <c r="J183" s="1"/>
      <c r="K183" s="1"/>
      <c r="M183" t="s">
        <v>2</v>
      </c>
      <c r="N183" s="37" cm="1">
        <f t="array" ref="N183:P186">TRANSPOSE(G188:J190)</f>
        <v>1</v>
      </c>
      <c r="O183" s="38">
        <v>2</v>
      </c>
      <c r="P183" s="39">
        <v>1</v>
      </c>
      <c r="S183" s="11" cm="1">
        <f t="array" ref="S183:V186">MMULT(_xlfn.ANCHORARRAY(N183),S178:V180)</f>
        <v>6</v>
      </c>
      <c r="T183" s="11">
        <v>3</v>
      </c>
      <c r="U183" s="11">
        <v>6</v>
      </c>
      <c r="V183" s="11">
        <v>5</v>
      </c>
      <c r="X183" s="11"/>
      <c r="Y183" s="11"/>
      <c r="Z183" s="11"/>
      <c r="AA183" s="11"/>
      <c r="AC183" s="11"/>
      <c r="AD183" s="11"/>
      <c r="AE183" s="11"/>
      <c r="AF183" s="11"/>
    </row>
    <row r="184" spans="6:32" ht="24" customHeight="1" x14ac:dyDescent="0.25">
      <c r="J184" s="1"/>
      <c r="K184" s="1"/>
      <c r="M184" t="s">
        <v>3</v>
      </c>
      <c r="N184" s="37">
        <v>2</v>
      </c>
      <c r="O184" s="38">
        <v>0</v>
      </c>
      <c r="P184" s="39">
        <v>1</v>
      </c>
      <c r="S184" s="12">
        <v>3</v>
      </c>
      <c r="T184" s="12">
        <v>5</v>
      </c>
      <c r="U184" s="12">
        <v>1</v>
      </c>
      <c r="V184" s="12">
        <v>3</v>
      </c>
      <c r="X184" s="12"/>
      <c r="Y184" s="12"/>
      <c r="Z184" s="12"/>
      <c r="AA184" s="12"/>
      <c r="AC184" s="12"/>
      <c r="AD184" s="12"/>
      <c r="AE184" s="12"/>
      <c r="AF184" s="12"/>
    </row>
    <row r="185" spans="6:32" ht="24" customHeight="1" x14ac:dyDescent="0.25">
      <c r="J185" s="1"/>
      <c r="K185" s="1"/>
      <c r="M185" t="s">
        <v>4</v>
      </c>
      <c r="N185" s="37">
        <v>1</v>
      </c>
      <c r="O185" s="38">
        <v>3</v>
      </c>
      <c r="P185" s="39">
        <v>-1</v>
      </c>
      <c r="S185" s="12">
        <v>6</v>
      </c>
      <c r="T185" s="12">
        <v>1</v>
      </c>
      <c r="U185" s="12">
        <v>11</v>
      </c>
      <c r="V185" s="12">
        <v>0</v>
      </c>
      <c r="X185" s="12"/>
      <c r="Y185" s="12"/>
      <c r="Z185" s="12"/>
      <c r="AA185" s="12"/>
      <c r="AC185" s="12"/>
      <c r="AD185" s="12"/>
      <c r="AE185" s="12"/>
      <c r="AF185" s="12"/>
    </row>
    <row r="186" spans="6:32" ht="24" customHeight="1" x14ac:dyDescent="0.25">
      <c r="J186" s="1"/>
      <c r="K186" s="1"/>
      <c r="M186" t="s">
        <v>5</v>
      </c>
      <c r="N186" s="37">
        <v>0</v>
      </c>
      <c r="O186" s="38">
        <v>1</v>
      </c>
      <c r="P186" s="39">
        <v>3</v>
      </c>
      <c r="S186" s="13">
        <v>5</v>
      </c>
      <c r="T186" s="13">
        <v>3</v>
      </c>
      <c r="U186" s="13">
        <v>0</v>
      </c>
      <c r="V186" s="13">
        <v>10</v>
      </c>
      <c r="X186" s="13"/>
      <c r="Y186" s="13"/>
      <c r="Z186" s="13"/>
      <c r="AA186" s="13"/>
      <c r="AC186" s="13"/>
      <c r="AD186" s="13"/>
      <c r="AE186" s="13"/>
      <c r="AF186" s="13"/>
    </row>
    <row r="187" spans="6:32" ht="24" customHeight="1" x14ac:dyDescent="0.25">
      <c r="F187" s="1" t="s">
        <v>36</v>
      </c>
      <c r="G187" s="1" t="s">
        <v>37</v>
      </c>
      <c r="H187" s="1" t="s">
        <v>38</v>
      </c>
      <c r="I187" s="1" t="s">
        <v>39</v>
      </c>
      <c r="J187" s="1" t="s">
        <v>40</v>
      </c>
      <c r="K187" s="1"/>
      <c r="AC187" t="s">
        <v>31</v>
      </c>
    </row>
    <row r="188" spans="6:32" ht="24" customHeight="1" x14ac:dyDescent="0.25">
      <c r="G188" s="8">
        <v>1</v>
      </c>
      <c r="H188" s="8">
        <v>2</v>
      </c>
      <c r="I188" s="8">
        <v>1</v>
      </c>
      <c r="J188" s="8">
        <v>0</v>
      </c>
      <c r="K188" s="1"/>
      <c r="AC188" s="33"/>
      <c r="AD188" s="33"/>
      <c r="AE188" s="33"/>
      <c r="AF188" s="33"/>
    </row>
    <row r="189" spans="6:32" ht="24" customHeight="1" x14ac:dyDescent="0.25">
      <c r="G189" s="9">
        <v>2</v>
      </c>
      <c r="H189" s="9">
        <v>0</v>
      </c>
      <c r="I189" s="9">
        <v>3</v>
      </c>
      <c r="J189" s="9">
        <v>1</v>
      </c>
      <c r="K189" s="1"/>
      <c r="AC189" s="34"/>
      <c r="AD189" s="34"/>
      <c r="AE189" s="34"/>
      <c r="AF189" s="34"/>
    </row>
    <row r="190" spans="6:32" ht="24" customHeight="1" x14ac:dyDescent="0.25">
      <c r="G190" s="10">
        <v>1</v>
      </c>
      <c r="H190" s="10">
        <v>1</v>
      </c>
      <c r="I190" s="10">
        <v>-1</v>
      </c>
      <c r="J190" s="10">
        <v>3</v>
      </c>
      <c r="K190" s="1"/>
      <c r="AC190" s="35"/>
      <c r="AD190" s="35"/>
      <c r="AE190" s="35"/>
      <c r="AF190" s="35"/>
    </row>
    <row r="191" spans="6:32" ht="24" customHeight="1" x14ac:dyDescent="0.25">
      <c r="I191" s="1"/>
      <c r="J191" s="1"/>
      <c r="K191" s="1"/>
      <c r="AC191" s="1" t="s">
        <v>17</v>
      </c>
      <c r="AD191" s="1" t="s">
        <v>18</v>
      </c>
      <c r="AE191" s="1" t="s">
        <v>19</v>
      </c>
      <c r="AF191" s="1" t="s">
        <v>20</v>
      </c>
    </row>
    <row r="192" spans="6:32" ht="24" customHeight="1" x14ac:dyDescent="0.25">
      <c r="I192" s="1"/>
      <c r="J192" s="1"/>
      <c r="K192" s="1"/>
      <c r="AC192" s="1"/>
      <c r="AD192" s="1"/>
      <c r="AE192" s="1"/>
      <c r="AF192" s="1"/>
    </row>
    <row r="194" spans="1:27" s="5" customFormat="1" ht="24" customHeight="1" x14ac:dyDescent="0.35">
      <c r="A194" s="4" t="s">
        <v>47</v>
      </c>
    </row>
    <row r="196" spans="1:27" ht="24" customHeight="1" x14ac:dyDescent="0.25">
      <c r="E196" s="1"/>
      <c r="G196" t="s">
        <v>48</v>
      </c>
      <c r="J196" s="1"/>
      <c r="K196" s="1"/>
    </row>
    <row r="197" spans="1:27" ht="24" customHeight="1" x14ac:dyDescent="0.25">
      <c r="E197" s="1"/>
      <c r="J197" s="1"/>
      <c r="K197" s="1"/>
    </row>
    <row r="198" spans="1:27" ht="24" customHeight="1" x14ac:dyDescent="0.25">
      <c r="E198" s="1"/>
      <c r="F198" s="1" t="s">
        <v>36</v>
      </c>
      <c r="G198" s="1" t="s">
        <v>37</v>
      </c>
      <c r="H198" s="1" t="s">
        <v>38</v>
      </c>
      <c r="I198" s="1" t="s">
        <v>39</v>
      </c>
      <c r="J198" s="1" t="s">
        <v>40</v>
      </c>
      <c r="K198" s="1"/>
      <c r="R198" t="s">
        <v>49</v>
      </c>
      <c r="S198" s="1" t="s">
        <v>50</v>
      </c>
      <c r="T198" s="1" t="s">
        <v>51</v>
      </c>
      <c r="U198" s="1" t="s">
        <v>52</v>
      </c>
      <c r="V198" s="1" t="s">
        <v>53</v>
      </c>
    </row>
    <row r="199" spans="1:27" ht="24" customHeight="1" x14ac:dyDescent="0.25">
      <c r="E199" s="1"/>
      <c r="G199" s="8">
        <v>1</v>
      </c>
      <c r="H199" s="8">
        <v>2</v>
      </c>
      <c r="I199" s="8">
        <v>1</v>
      </c>
      <c r="J199" s="8">
        <v>0</v>
      </c>
      <c r="K199" s="1"/>
      <c r="S199" s="44"/>
      <c r="T199" s="44"/>
      <c r="U199" s="44"/>
      <c r="V199" s="44"/>
    </row>
    <row r="200" spans="1:27" ht="24" customHeight="1" x14ac:dyDescent="0.25">
      <c r="E200" s="1"/>
      <c r="F200" s="1"/>
      <c r="G200" s="9">
        <v>2</v>
      </c>
      <c r="H200" s="9">
        <v>0</v>
      </c>
      <c r="I200" s="9">
        <v>3</v>
      </c>
      <c r="J200" s="9">
        <v>1</v>
      </c>
      <c r="K200" s="1"/>
      <c r="S200" s="45"/>
      <c r="T200" s="45"/>
      <c r="U200" s="45"/>
      <c r="V200" s="45"/>
    </row>
    <row r="201" spans="1:27" ht="24" customHeight="1" x14ac:dyDescent="0.25">
      <c r="E201" s="1"/>
      <c r="F201" s="1"/>
      <c r="G201" s="10">
        <v>1</v>
      </c>
      <c r="H201" s="10">
        <v>1</v>
      </c>
      <c r="I201" s="10">
        <v>-1</v>
      </c>
      <c r="J201" s="10">
        <v>3</v>
      </c>
      <c r="K201" s="1"/>
      <c r="T201" s="1"/>
      <c r="U201" s="1"/>
      <c r="V201" s="1"/>
    </row>
    <row r="202" spans="1:27" ht="24" customHeight="1" x14ac:dyDescent="0.25">
      <c r="C202" t="s">
        <v>54</v>
      </c>
      <c r="E202" s="1"/>
      <c r="F202" s="1" t="s">
        <v>49</v>
      </c>
      <c r="G202" s="46" t="s">
        <v>50</v>
      </c>
      <c r="H202" s="46" t="s">
        <v>51</v>
      </c>
      <c r="I202" s="46" t="s">
        <v>52</v>
      </c>
      <c r="J202" s="46" t="s">
        <v>53</v>
      </c>
      <c r="K202" s="1"/>
      <c r="N202" t="s">
        <v>55</v>
      </c>
      <c r="S202" t="s">
        <v>56</v>
      </c>
      <c r="X202" t="s">
        <v>46</v>
      </c>
    </row>
    <row r="203" spans="1:27" ht="24" customHeight="1" x14ac:dyDescent="0.25">
      <c r="F203" s="1"/>
      <c r="G203" s="44"/>
      <c r="H203" s="44"/>
      <c r="I203" s="44"/>
      <c r="J203" s="44"/>
      <c r="K203" s="1"/>
      <c r="N203" s="46" t="s">
        <v>57</v>
      </c>
      <c r="O203" s="42"/>
      <c r="P203" s="43"/>
      <c r="S203" s="11"/>
      <c r="T203" s="11"/>
      <c r="U203" s="11"/>
      <c r="V203" s="11"/>
      <c r="X203" s="11" cm="1">
        <f t="array" ref="X203:X206">EXP(S203:S206)/SUM(EXP(S203:S206))</f>
        <v>0.25</v>
      </c>
      <c r="Y203" s="11" cm="1">
        <f t="array" ref="Y203:Y206">EXP(T203:T206)/SUM(EXP(T203:T206))</f>
        <v>0.25</v>
      </c>
      <c r="Z203" s="11" cm="1">
        <f t="array" ref="Z203:Z206">EXP(U203:U206)/SUM(EXP(U203:U206))</f>
        <v>0.25</v>
      </c>
      <c r="AA203" s="11" cm="1">
        <f t="array" ref="AA203:AA206">EXP(V203:V206)/SUM(EXP(V203:V206))</f>
        <v>0.25</v>
      </c>
    </row>
    <row r="204" spans="1:27" ht="24" customHeight="1" x14ac:dyDescent="0.25">
      <c r="F204" s="1"/>
      <c r="G204" s="45"/>
      <c r="H204" s="45"/>
      <c r="I204" s="45"/>
      <c r="J204" s="45"/>
      <c r="K204" s="1"/>
      <c r="N204" s="46" t="s">
        <v>58</v>
      </c>
      <c r="O204" s="42"/>
      <c r="P204" s="43"/>
      <c r="S204" s="12"/>
      <c r="T204" s="12"/>
      <c r="U204" s="12"/>
      <c r="V204" s="12"/>
      <c r="X204" s="12">
        <v>0.25</v>
      </c>
      <c r="Y204" s="12">
        <v>0.25</v>
      </c>
      <c r="Z204" s="12">
        <v>0.25</v>
      </c>
      <c r="AA204" s="12">
        <v>0.25</v>
      </c>
    </row>
    <row r="205" spans="1:27" ht="24" customHeight="1" x14ac:dyDescent="0.25">
      <c r="C205" t="s">
        <v>59</v>
      </c>
      <c r="E205" s="1"/>
      <c r="F205" s="1" t="s">
        <v>60</v>
      </c>
      <c r="G205" s="46" t="s">
        <v>57</v>
      </c>
      <c r="H205" s="46" t="s">
        <v>58</v>
      </c>
      <c r="I205" s="46" t="s">
        <v>61</v>
      </c>
      <c r="J205" s="46" t="s">
        <v>62</v>
      </c>
      <c r="K205" s="1"/>
      <c r="N205" s="46" t="s">
        <v>61</v>
      </c>
      <c r="O205" s="42"/>
      <c r="P205" s="43"/>
      <c r="S205" s="12"/>
      <c r="T205" s="12"/>
      <c r="U205" s="12"/>
      <c r="V205" s="12"/>
      <c r="X205" s="12">
        <v>0.25</v>
      </c>
      <c r="Y205" s="12">
        <v>0.25</v>
      </c>
      <c r="Z205" s="12">
        <v>0.25</v>
      </c>
      <c r="AA205" s="12">
        <v>0.25</v>
      </c>
    </row>
    <row r="206" spans="1:27" ht="24" customHeight="1" x14ac:dyDescent="0.25">
      <c r="F206" s="1"/>
      <c r="G206" s="44"/>
      <c r="H206" s="44"/>
      <c r="I206" s="44"/>
      <c r="J206" s="44"/>
      <c r="K206" s="1"/>
      <c r="N206" s="46" t="s">
        <v>62</v>
      </c>
      <c r="O206" s="42"/>
      <c r="P206" s="43"/>
      <c r="S206" s="13"/>
      <c r="T206" s="13"/>
      <c r="U206" s="13"/>
      <c r="V206" s="13"/>
      <c r="X206" s="13">
        <v>0.25</v>
      </c>
      <c r="Y206" s="13">
        <v>0.25</v>
      </c>
      <c r="Z206" s="13">
        <v>0.25</v>
      </c>
      <c r="AA206" s="13">
        <v>0.25</v>
      </c>
    </row>
    <row r="207" spans="1:27" ht="24" customHeight="1" x14ac:dyDescent="0.25">
      <c r="F207" s="1"/>
      <c r="G207" s="45"/>
      <c r="H207" s="45"/>
      <c r="I207" s="45"/>
      <c r="J207" s="45"/>
      <c r="K207" s="1"/>
    </row>
    <row r="208" spans="1:27" ht="24" customHeight="1" x14ac:dyDescent="0.25">
      <c r="C208" t="s">
        <v>63</v>
      </c>
      <c r="E208" s="1"/>
      <c r="F208" s="1" t="s">
        <v>64</v>
      </c>
      <c r="G208" s="1" t="s">
        <v>65</v>
      </c>
      <c r="H208" s="1" t="s">
        <v>66</v>
      </c>
      <c r="I208" s="1" t="s">
        <v>67</v>
      </c>
      <c r="J208" s="1" t="s">
        <v>68</v>
      </c>
      <c r="K208" s="1"/>
      <c r="N208" s="1" t="s">
        <v>64</v>
      </c>
      <c r="O208" s="1" t="s">
        <v>65</v>
      </c>
      <c r="P208" s="1" t="s">
        <v>66</v>
      </c>
      <c r="Q208" s="1" t="s">
        <v>67</v>
      </c>
      <c r="R208" s="1" t="s">
        <v>68</v>
      </c>
      <c r="X208" t="s">
        <v>69</v>
      </c>
    </row>
    <row r="209" spans="5:27" ht="24" customHeight="1" x14ac:dyDescent="0.25">
      <c r="F209" s="1"/>
      <c r="G209" s="11"/>
      <c r="H209" s="11"/>
      <c r="I209" s="11"/>
      <c r="J209" s="11"/>
      <c r="K209" s="1"/>
      <c r="O209" s="11"/>
      <c r="P209" s="11"/>
      <c r="Q209" s="11"/>
      <c r="R209" s="11"/>
      <c r="X209" s="33" t="e" cm="1">
        <f t="array" ref="X209">MMULT(O209:R211,X203:AA206)</f>
        <v>#VALUE!</v>
      </c>
      <c r="Y209" s="33"/>
      <c r="Z209" s="33"/>
      <c r="AA209" s="33"/>
    </row>
    <row r="210" spans="5:27" ht="24" customHeight="1" x14ac:dyDescent="0.25">
      <c r="F210" s="1"/>
      <c r="G210" s="12"/>
      <c r="H210" s="12"/>
      <c r="I210" s="12"/>
      <c r="J210" s="12"/>
      <c r="K210" s="1"/>
      <c r="O210" s="12"/>
      <c r="P210" s="12"/>
      <c r="Q210" s="12"/>
      <c r="R210" s="12"/>
      <c r="X210" s="34"/>
      <c r="Y210" s="34"/>
      <c r="Z210" s="34"/>
      <c r="AA210" s="34"/>
    </row>
    <row r="211" spans="5:27" ht="24" customHeight="1" x14ac:dyDescent="0.25">
      <c r="F211" s="1"/>
      <c r="G211" s="13"/>
      <c r="H211" s="13"/>
      <c r="I211" s="13"/>
      <c r="J211" s="13"/>
      <c r="K211" s="1"/>
      <c r="O211" s="13"/>
      <c r="P211" s="13"/>
      <c r="Q211" s="13"/>
      <c r="R211" s="13"/>
      <c r="X211" s="35"/>
      <c r="Y211" s="35"/>
      <c r="Z211" s="35"/>
      <c r="AA211" s="35"/>
    </row>
    <row r="212" spans="5:27" ht="24" customHeight="1" x14ac:dyDescent="0.25">
      <c r="E212" s="1"/>
      <c r="F212" s="1"/>
      <c r="H212" s="1"/>
      <c r="I212" s="1"/>
      <c r="J212" s="1"/>
      <c r="X212" s="1" t="s">
        <v>70</v>
      </c>
      <c r="Y212" s="1" t="s">
        <v>71</v>
      </c>
      <c r="Z212" s="1" t="s">
        <v>72</v>
      </c>
      <c r="AA212" s="1" t="s">
        <v>73</v>
      </c>
    </row>
  </sheetData>
  <conditionalFormatting sqref="P120:P123">
    <cfRule type="dataBar" priority="1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{588816D1-0463-1E4A-A2C6-B026071C3FE5}</x14:id>
        </ext>
      </extLst>
    </cfRule>
  </conditionalFormatting>
  <conditionalFormatting sqref="Q120:Q123">
    <cfRule type="dataBar" priority="1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{70239AB2-47A9-6245-80C5-20678C4A1D8E}</x14:id>
        </ext>
      </extLst>
    </cfRule>
  </conditionalFormatting>
  <conditionalFormatting sqref="R120:R123">
    <cfRule type="dataBar" priority="1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{6DC833FA-B89F-E44E-A3DE-F7567359C04A}</x14:id>
        </ext>
      </extLst>
    </cfRule>
  </conditionalFormatting>
  <conditionalFormatting sqref="S120:S123">
    <cfRule type="dataBar" priority="1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{A47D1797-9F31-F745-8F4B-5294C5665B7C}</x14:id>
        </ext>
      </extLst>
    </cfRule>
  </conditionalFormatting>
  <conditionalFormatting sqref="S164:S167">
    <cfRule type="dataBar" priority="1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{AF8C01AB-D11B-DD43-A85C-4D0A488B3E30}</x14:id>
        </ext>
      </extLst>
    </cfRule>
  </conditionalFormatting>
  <conditionalFormatting sqref="S183:S186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{7E425EA3-5483-7E4C-A12A-810E36FAB29E}</x14:id>
        </ext>
      </extLst>
    </cfRule>
  </conditionalFormatting>
  <conditionalFormatting sqref="S203:S206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{D0B92032-F06A-5849-B2AA-C11893D2EC93}</x14:id>
        </ext>
      </extLst>
    </cfRule>
  </conditionalFormatting>
  <conditionalFormatting sqref="T164:T167">
    <cfRule type="dataBar" priority="1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{30A00017-D8BF-C546-B99E-46D1F75C860C}</x14:id>
        </ext>
      </extLst>
    </cfRule>
  </conditionalFormatting>
  <conditionalFormatting sqref="T183:T186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{633E12DF-9493-534C-9723-000B41A1FB0E}</x14:id>
        </ext>
      </extLst>
    </cfRule>
  </conditionalFormatting>
  <conditionalFormatting sqref="T203:T206">
    <cfRule type="dataBar" priority="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{74DE19E7-B112-4349-9868-5E862D884128}</x14:id>
        </ext>
      </extLst>
    </cfRule>
  </conditionalFormatting>
  <conditionalFormatting sqref="U164:U167">
    <cfRule type="dataBar" priority="1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{D586AC19-ECF9-D346-BBDC-A60061F87A3B}</x14:id>
        </ext>
      </extLst>
    </cfRule>
  </conditionalFormatting>
  <conditionalFormatting sqref="U183:U186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{D74C2F64-A895-2349-A48B-0A64788F2D74}</x14:id>
        </ext>
      </extLst>
    </cfRule>
  </conditionalFormatting>
  <conditionalFormatting sqref="U203:U206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{08336713-57A1-6E43-8B33-C083F60D2AB9}</x14:id>
        </ext>
      </extLst>
    </cfRule>
  </conditionalFormatting>
  <conditionalFormatting sqref="V164:V167">
    <cfRule type="dataBar" priority="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{F41F98CD-68DF-EA45-8ED4-9DA13B709464}</x14:id>
        </ext>
      </extLst>
    </cfRule>
  </conditionalFormatting>
  <conditionalFormatting sqref="V183:V186">
    <cfRule type="dataBar" priority="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{4E0309E0-BA45-9C4C-B4FE-D2661DBFC87B}</x14:id>
        </ext>
      </extLst>
    </cfRule>
  </conditionalFormatting>
  <conditionalFormatting sqref="V203:V206">
    <cfRule type="dataBar" priority="1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{98955683-FC8F-9A4A-8605-8F05CC37C887}</x14:id>
        </ext>
      </extLst>
    </cfRule>
  </conditionalFormatting>
  <conditionalFormatting sqref="X183:AA186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{C9D4EC5F-C6CF-9246-BB3A-2D1931CFFFEA}</x14:id>
        </ext>
      </extLst>
    </cfRule>
  </conditionalFormatting>
  <conditionalFormatting sqref="X203:AA206">
    <cfRule type="dataBar" priority="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{20B7E21F-CAC7-AA4C-94D0-D297D1F2AFF0}</x14:id>
        </ext>
      </extLst>
    </cfRule>
  </conditionalFormatting>
  <conditionalFormatting sqref="AB77:AB80">
    <cfRule type="dataBar" priority="2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{709F01CE-B386-4843-8929-B6A9490B11C9}</x14:id>
        </ext>
      </extLst>
    </cfRule>
  </conditionalFormatting>
  <conditionalFormatting sqref="AC183:AF186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{E3B84701-D2A2-A349-80BA-17FDA5B1763B}</x14:id>
        </ext>
      </extLst>
    </cfRule>
  </conditionalFormatting>
  <conditionalFormatting sqref="AE77:AE80">
    <cfRule type="dataBar" priority="2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{FED43E5B-4AE3-9E41-A1ED-26C53F80C605}</x14:id>
        </ext>
      </extLst>
    </cfRule>
  </conditionalFormatting>
  <conditionalFormatting sqref="AH77:AH80">
    <cfRule type="dataBar" priority="2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{CB28413E-B3AB-4F42-81D0-BA66CE034873}</x14:id>
        </ext>
      </extLst>
    </cfRule>
  </conditionalFormatting>
  <conditionalFormatting sqref="AK77:AK80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{F80DC1B8-CD1C-084D-9C3A-4BC52706BE58}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88816D1-0463-1E4A-A2C6-B026071C3FE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P120:P123</xm:sqref>
        </x14:conditionalFormatting>
        <x14:conditionalFormatting xmlns:xm="http://schemas.microsoft.com/office/excel/2006/main">
          <x14:cfRule type="dataBar" id="{70239AB2-47A9-6245-80C5-20678C4A1D8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Q120:Q123</xm:sqref>
        </x14:conditionalFormatting>
        <x14:conditionalFormatting xmlns:xm="http://schemas.microsoft.com/office/excel/2006/main">
          <x14:cfRule type="dataBar" id="{6DC833FA-B89F-E44E-A3DE-F7567359C04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R120:R123</xm:sqref>
        </x14:conditionalFormatting>
        <x14:conditionalFormatting xmlns:xm="http://schemas.microsoft.com/office/excel/2006/main">
          <x14:cfRule type="dataBar" id="{A47D1797-9F31-F745-8F4B-5294C5665B7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S120:S123</xm:sqref>
        </x14:conditionalFormatting>
        <x14:conditionalFormatting xmlns:xm="http://schemas.microsoft.com/office/excel/2006/main">
          <x14:cfRule type="dataBar" id="{AF8C01AB-D11B-DD43-A85C-4D0A488B3E3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S164:S167</xm:sqref>
        </x14:conditionalFormatting>
        <x14:conditionalFormatting xmlns:xm="http://schemas.microsoft.com/office/excel/2006/main">
          <x14:cfRule type="dataBar" id="{7E425EA3-5483-7E4C-A12A-810E36FAB29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S183:S186</xm:sqref>
        </x14:conditionalFormatting>
        <x14:conditionalFormatting xmlns:xm="http://schemas.microsoft.com/office/excel/2006/main">
          <x14:cfRule type="dataBar" id="{D0B92032-F06A-5849-B2AA-C11893D2EC9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S203:S206</xm:sqref>
        </x14:conditionalFormatting>
        <x14:conditionalFormatting xmlns:xm="http://schemas.microsoft.com/office/excel/2006/main">
          <x14:cfRule type="dataBar" id="{30A00017-D8BF-C546-B99E-46D1F75C860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T164:T167</xm:sqref>
        </x14:conditionalFormatting>
        <x14:conditionalFormatting xmlns:xm="http://schemas.microsoft.com/office/excel/2006/main">
          <x14:cfRule type="dataBar" id="{633E12DF-9493-534C-9723-000B41A1FB0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T183:T186</xm:sqref>
        </x14:conditionalFormatting>
        <x14:conditionalFormatting xmlns:xm="http://schemas.microsoft.com/office/excel/2006/main">
          <x14:cfRule type="dataBar" id="{74DE19E7-B112-4349-9868-5E862D88412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T203:T206</xm:sqref>
        </x14:conditionalFormatting>
        <x14:conditionalFormatting xmlns:xm="http://schemas.microsoft.com/office/excel/2006/main">
          <x14:cfRule type="dataBar" id="{D586AC19-ECF9-D346-BBDC-A60061F87A3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U164:U167</xm:sqref>
        </x14:conditionalFormatting>
        <x14:conditionalFormatting xmlns:xm="http://schemas.microsoft.com/office/excel/2006/main">
          <x14:cfRule type="dataBar" id="{D74C2F64-A895-2349-A48B-0A64788F2D7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U183:U186</xm:sqref>
        </x14:conditionalFormatting>
        <x14:conditionalFormatting xmlns:xm="http://schemas.microsoft.com/office/excel/2006/main">
          <x14:cfRule type="dataBar" id="{08336713-57A1-6E43-8B33-C083F60D2AB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U203:U206</xm:sqref>
        </x14:conditionalFormatting>
        <x14:conditionalFormatting xmlns:xm="http://schemas.microsoft.com/office/excel/2006/main">
          <x14:cfRule type="dataBar" id="{F41F98CD-68DF-EA45-8ED4-9DA13B70946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V164:V167</xm:sqref>
        </x14:conditionalFormatting>
        <x14:conditionalFormatting xmlns:xm="http://schemas.microsoft.com/office/excel/2006/main">
          <x14:cfRule type="dataBar" id="{4E0309E0-BA45-9C4C-B4FE-D2661DBFC87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V183:V186</xm:sqref>
        </x14:conditionalFormatting>
        <x14:conditionalFormatting xmlns:xm="http://schemas.microsoft.com/office/excel/2006/main">
          <x14:cfRule type="dataBar" id="{98955683-FC8F-9A4A-8605-8F05CC37C88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V203:V206</xm:sqref>
        </x14:conditionalFormatting>
        <x14:conditionalFormatting xmlns:xm="http://schemas.microsoft.com/office/excel/2006/main">
          <x14:cfRule type="dataBar" id="{C9D4EC5F-C6CF-9246-BB3A-2D1931CFFF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X183:AA186</xm:sqref>
        </x14:conditionalFormatting>
        <x14:conditionalFormatting xmlns:xm="http://schemas.microsoft.com/office/excel/2006/main">
          <x14:cfRule type="dataBar" id="{20B7E21F-CAC7-AA4C-94D0-D297D1F2AF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X203:AA206</xm:sqref>
        </x14:conditionalFormatting>
        <x14:conditionalFormatting xmlns:xm="http://schemas.microsoft.com/office/excel/2006/main">
          <x14:cfRule type="dataBar" id="{709F01CE-B386-4843-8929-B6A9490B11C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AB77:AB80</xm:sqref>
        </x14:conditionalFormatting>
        <x14:conditionalFormatting xmlns:xm="http://schemas.microsoft.com/office/excel/2006/main">
          <x14:cfRule type="dataBar" id="{E3B84701-D2A2-A349-80BA-17FDA5B176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AC183:AF186</xm:sqref>
        </x14:conditionalFormatting>
        <x14:conditionalFormatting xmlns:xm="http://schemas.microsoft.com/office/excel/2006/main">
          <x14:cfRule type="dataBar" id="{FED43E5B-4AE3-9E41-A1ED-26C53F80C60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AE77:AE80</xm:sqref>
        </x14:conditionalFormatting>
        <x14:conditionalFormatting xmlns:xm="http://schemas.microsoft.com/office/excel/2006/main">
          <x14:cfRule type="dataBar" id="{CB28413E-B3AB-4F42-81D0-BA66CE03487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AH77:AH80</xm:sqref>
        </x14:conditionalFormatting>
        <x14:conditionalFormatting xmlns:xm="http://schemas.microsoft.com/office/excel/2006/main">
          <x14:cfRule type="dataBar" id="{F80DC1B8-CD1C-084D-9C3A-4BC52706BE5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AK77:AK80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49B6C-7C0C-6E44-9FBC-E1DEB452E0E7}">
  <dimension ref="A2:AS396"/>
  <sheetViews>
    <sheetView tabSelected="1" topLeftCell="A166" zoomScale="85" zoomScaleNormal="85" workbookViewId="0">
      <selection activeCell="R98" sqref="R98"/>
    </sheetView>
  </sheetViews>
  <sheetFormatPr baseColWidth="10" defaultColWidth="4.875" defaultRowHeight="24" customHeight="1" x14ac:dyDescent="0.25"/>
  <cols>
    <col min="11" max="11" width="4.875" customWidth="1"/>
    <col min="30" max="30" width="6.75" bestFit="1" customWidth="1"/>
  </cols>
  <sheetData>
    <row r="2" spans="1:38" s="5" customFormat="1" ht="24" customHeight="1" x14ac:dyDescent="0.35">
      <c r="A2" s="4" t="s">
        <v>74</v>
      </c>
    </row>
    <row r="4" spans="1:38" s="40" customFormat="1" ht="24" customHeight="1" x14ac:dyDescent="0.25">
      <c r="A4" s="40" t="s">
        <v>75</v>
      </c>
      <c r="I4" s="14"/>
      <c r="J4" s="14"/>
      <c r="L4" s="14"/>
      <c r="M4" s="14"/>
      <c r="N4" s="14"/>
      <c r="Q4" s="14"/>
      <c r="R4" s="14"/>
      <c r="S4" s="14"/>
      <c r="AA4" s="14"/>
      <c r="AB4" s="14"/>
      <c r="AC4" s="14"/>
      <c r="AD4" s="14"/>
    </row>
    <row r="5" spans="1:38" ht="24" customHeight="1" x14ac:dyDescent="0.25">
      <c r="I5" s="1"/>
      <c r="J5" s="1"/>
      <c r="L5" s="1"/>
      <c r="M5" s="1"/>
      <c r="N5" s="1"/>
      <c r="Q5" s="1"/>
      <c r="R5" s="1"/>
      <c r="S5" s="1"/>
      <c r="AA5" s="1"/>
      <c r="AB5" s="1"/>
      <c r="AC5" s="1"/>
      <c r="AD5" s="1"/>
    </row>
    <row r="6" spans="1:38" ht="24" customHeight="1" x14ac:dyDescent="0.25">
      <c r="P6" s="1"/>
      <c r="U6" s="1"/>
      <c r="V6" s="1"/>
    </row>
    <row r="7" spans="1:38" ht="24" customHeight="1" x14ac:dyDescent="0.25">
      <c r="P7" s="1"/>
      <c r="R7" t="s">
        <v>48</v>
      </c>
      <c r="U7" s="1"/>
      <c r="V7" s="1"/>
    </row>
    <row r="8" spans="1:38" ht="24" customHeight="1" x14ac:dyDescent="0.25">
      <c r="P8" s="1"/>
      <c r="U8" s="1"/>
      <c r="V8" s="1"/>
    </row>
    <row r="9" spans="1:38" ht="24" customHeight="1" x14ac:dyDescent="0.25">
      <c r="P9" s="1"/>
      <c r="Q9" s="1" t="s">
        <v>36</v>
      </c>
      <c r="R9" s="1" t="s">
        <v>37</v>
      </c>
      <c r="S9" s="1" t="s">
        <v>38</v>
      </c>
      <c r="T9" s="1" t="s">
        <v>39</v>
      </c>
      <c r="U9" s="1" t="s">
        <v>40</v>
      </c>
      <c r="V9" s="1"/>
      <c r="AC9" t="s">
        <v>49</v>
      </c>
      <c r="AD9" s="1" t="s">
        <v>50</v>
      </c>
      <c r="AE9" s="1" t="s">
        <v>51</v>
      </c>
      <c r="AF9" s="1" t="s">
        <v>52</v>
      </c>
      <c r="AG9" s="1" t="s">
        <v>53</v>
      </c>
    </row>
    <row r="10" spans="1:38" ht="24" customHeight="1" x14ac:dyDescent="0.25">
      <c r="P10" s="1"/>
      <c r="R10" s="8">
        <v>1</v>
      </c>
      <c r="S10" s="8">
        <v>2</v>
      </c>
      <c r="T10" s="8">
        <v>1</v>
      </c>
      <c r="U10" s="8">
        <v>0</v>
      </c>
      <c r="V10" s="1"/>
      <c r="AD10" s="44">
        <v>3</v>
      </c>
      <c r="AE10" s="44">
        <v>1</v>
      </c>
      <c r="AF10" s="44">
        <v>2</v>
      </c>
      <c r="AG10" s="44">
        <v>4</v>
      </c>
    </row>
    <row r="11" spans="1:38" ht="24" customHeight="1" x14ac:dyDescent="0.25">
      <c r="P11" s="1"/>
      <c r="Q11" s="1"/>
      <c r="R11" s="9">
        <v>2</v>
      </c>
      <c r="S11" s="9">
        <v>0</v>
      </c>
      <c r="T11" s="9">
        <v>3</v>
      </c>
      <c r="U11" s="9">
        <v>1</v>
      </c>
      <c r="V11" s="1"/>
      <c r="AD11" s="45">
        <v>2</v>
      </c>
      <c r="AE11" s="45">
        <v>3</v>
      </c>
      <c r="AF11" s="45">
        <v>0</v>
      </c>
      <c r="AG11" s="45">
        <v>3</v>
      </c>
    </row>
    <row r="12" spans="1:38" ht="24" customHeight="1" x14ac:dyDescent="0.25">
      <c r="P12" s="1"/>
      <c r="Q12" s="1"/>
      <c r="R12" s="10">
        <v>1</v>
      </c>
      <c r="S12" s="10">
        <v>1</v>
      </c>
      <c r="T12" s="10">
        <v>-1</v>
      </c>
      <c r="U12" s="10">
        <v>3</v>
      </c>
      <c r="V12" s="1"/>
      <c r="AE12" s="1"/>
      <c r="AF12" s="1"/>
      <c r="AG12" s="1"/>
    </row>
    <row r="13" spans="1:38" ht="24" customHeight="1" x14ac:dyDescent="0.25">
      <c r="N13" t="s">
        <v>54</v>
      </c>
      <c r="P13" s="1"/>
      <c r="Q13" s="1" t="s">
        <v>49</v>
      </c>
      <c r="R13" s="46" t="s">
        <v>50</v>
      </c>
      <c r="S13" s="46" t="s">
        <v>51</v>
      </c>
      <c r="T13" s="46" t="s">
        <v>52</v>
      </c>
      <c r="U13" s="46" t="s">
        <v>53</v>
      </c>
      <c r="V13" s="1"/>
      <c r="Y13" t="s">
        <v>55</v>
      </c>
      <c r="AD13" t="s">
        <v>56</v>
      </c>
      <c r="AI13" t="s">
        <v>46</v>
      </c>
    </row>
    <row r="14" spans="1:38" ht="24" customHeight="1" x14ac:dyDescent="0.25">
      <c r="N14" s="41">
        <v>0</v>
      </c>
      <c r="O14" s="41">
        <v>1</v>
      </c>
      <c r="P14" s="2">
        <v>1</v>
      </c>
      <c r="Q14" s="1"/>
      <c r="R14" s="44" cm="1">
        <f t="array" ref="R14:U15">MMULT(N14:P15,R10:U12)</f>
        <v>3</v>
      </c>
      <c r="S14" s="44">
        <v>1</v>
      </c>
      <c r="T14" s="44">
        <v>2</v>
      </c>
      <c r="U14" s="44">
        <v>4</v>
      </c>
      <c r="V14" s="1"/>
      <c r="Y14" s="46" t="s">
        <v>57</v>
      </c>
      <c r="Z14" s="42">
        <v>2</v>
      </c>
      <c r="AA14" s="43">
        <v>3</v>
      </c>
      <c r="AD14" s="11" cm="1">
        <f t="array" ref="AD14:AG17">MMULT(Z14:AA17,AD10:AG11)/SQRT(2)</f>
        <v>8.4852813742385695</v>
      </c>
      <c r="AE14" s="11">
        <v>7.7781745930520225</v>
      </c>
      <c r="AF14" s="11">
        <v>2.8284271247461898</v>
      </c>
      <c r="AG14" s="11">
        <v>12.020815280171307</v>
      </c>
      <c r="AI14" s="11" cm="1">
        <f t="array" ref="AI14:AI17">EXP(AD14:AD17)/SUM(EXP(AD14:AD17))</f>
        <v>2.792524471536656E-2</v>
      </c>
      <c r="AJ14" s="11" cm="1">
        <f t="array" ref="AJ14:AJ17">EXP(AE14:AE17)/SUM(EXP(AE14:AE17))</f>
        <v>5.5626277987124717E-2</v>
      </c>
      <c r="AK14" s="11" cm="1">
        <f t="array" ref="AK14:AK17">EXP(AF14:AF17)/SUM(EXP(AF14:AF17))</f>
        <v>0.10769355771811583</v>
      </c>
      <c r="AL14" s="11" cm="1">
        <f t="array" ref="AL14:AL17">EXP(AG14:AG17)/SUM(EXP(AG14:AG17))</f>
        <v>7.0233176290127866E-3</v>
      </c>
    </row>
    <row r="15" spans="1:38" ht="24" customHeight="1" x14ac:dyDescent="0.25">
      <c r="N15" s="41">
        <v>1</v>
      </c>
      <c r="O15" s="41">
        <v>0</v>
      </c>
      <c r="P15" s="2">
        <v>1</v>
      </c>
      <c r="Q15" s="1"/>
      <c r="R15" s="45">
        <v>2</v>
      </c>
      <c r="S15" s="45">
        <v>3</v>
      </c>
      <c r="T15" s="45">
        <v>0</v>
      </c>
      <c r="U15" s="45">
        <v>3</v>
      </c>
      <c r="V15" s="1"/>
      <c r="Y15" s="46" t="s">
        <v>58</v>
      </c>
      <c r="Z15" s="42">
        <v>3</v>
      </c>
      <c r="AA15" s="43">
        <v>1</v>
      </c>
      <c r="AD15" s="12">
        <v>7.7781745930520225</v>
      </c>
      <c r="AE15" s="12">
        <v>4.2426406871192848</v>
      </c>
      <c r="AF15" s="12">
        <v>4.2426406871192848</v>
      </c>
      <c r="AG15" s="12">
        <v>10.606601717798211</v>
      </c>
      <c r="AI15" s="12">
        <v>1.3769063868697633E-2</v>
      </c>
      <c r="AJ15" s="12">
        <v>1.6211273614384306E-3</v>
      </c>
      <c r="AK15" s="12">
        <v>0.44297056707652088</v>
      </c>
      <c r="AL15" s="12">
        <v>1.7074860468598351E-3</v>
      </c>
    </row>
    <row r="16" spans="1:38" ht="24" customHeight="1" x14ac:dyDescent="0.25">
      <c r="N16" t="s">
        <v>59</v>
      </c>
      <c r="P16" s="1"/>
      <c r="Q16" s="1" t="s">
        <v>60</v>
      </c>
      <c r="R16" s="46" t="s">
        <v>57</v>
      </c>
      <c r="S16" s="46" t="s">
        <v>58</v>
      </c>
      <c r="T16" s="46" t="s">
        <v>61</v>
      </c>
      <c r="U16" s="46" t="s">
        <v>62</v>
      </c>
      <c r="V16" s="1"/>
      <c r="Y16" s="46" t="s">
        <v>61</v>
      </c>
      <c r="Z16" s="42">
        <v>0</v>
      </c>
      <c r="AA16" s="43">
        <v>2</v>
      </c>
      <c r="AD16" s="12">
        <v>2.8284271247461898</v>
      </c>
      <c r="AE16" s="12">
        <v>4.2426406871192848</v>
      </c>
      <c r="AF16" s="12">
        <v>0</v>
      </c>
      <c r="AG16" s="12">
        <v>4.2426406871192848</v>
      </c>
      <c r="AI16" s="12">
        <v>9.7556542960854146E-5</v>
      </c>
      <c r="AJ16" s="12">
        <v>1.6211273614384306E-3</v>
      </c>
      <c r="AK16" s="12">
        <v>6.3653081288423613E-3</v>
      </c>
      <c r="AL16" s="12">
        <v>2.9411962579568908E-6</v>
      </c>
    </row>
    <row r="17" spans="1:38" ht="24" customHeight="1" x14ac:dyDescent="0.25">
      <c r="N17" s="41">
        <v>0</v>
      </c>
      <c r="O17" s="41">
        <v>1</v>
      </c>
      <c r="P17" s="2">
        <v>1</v>
      </c>
      <c r="Q17" s="1"/>
      <c r="R17" s="44" cm="1">
        <f t="array" ref="R17:U18">MMULT(N17:P18,R10:U12)</f>
        <v>3</v>
      </c>
      <c r="S17" s="44">
        <v>1</v>
      </c>
      <c r="T17" s="44">
        <v>2</v>
      </c>
      <c r="U17" s="44">
        <v>4</v>
      </c>
      <c r="V17" s="1"/>
      <c r="Y17" s="46" t="s">
        <v>62</v>
      </c>
      <c r="Z17" s="42">
        <v>3</v>
      </c>
      <c r="AA17" s="43">
        <v>4</v>
      </c>
      <c r="AD17" s="13">
        <v>12.020815280171307</v>
      </c>
      <c r="AE17" s="13">
        <v>10.606601717798211</v>
      </c>
      <c r="AF17" s="13">
        <v>4.2426406871192848</v>
      </c>
      <c r="AG17" s="13">
        <v>16.970562748477139</v>
      </c>
      <c r="AI17" s="13">
        <v>0.95820813487297496</v>
      </c>
      <c r="AJ17" s="13">
        <v>0.94113146728999841</v>
      </c>
      <c r="AK17" s="13">
        <v>0.44297056707652088</v>
      </c>
      <c r="AL17" s="13">
        <v>0.99126625512786937</v>
      </c>
    </row>
    <row r="18" spans="1:38" ht="24" customHeight="1" x14ac:dyDescent="0.25">
      <c r="N18" s="41">
        <v>1</v>
      </c>
      <c r="O18" s="41">
        <v>0</v>
      </c>
      <c r="P18" s="2">
        <v>1</v>
      </c>
      <c r="Q18" s="1"/>
      <c r="R18" s="45">
        <v>2</v>
      </c>
      <c r="S18" s="45">
        <v>3</v>
      </c>
      <c r="T18" s="45">
        <v>0</v>
      </c>
      <c r="U18" s="45">
        <v>3</v>
      </c>
      <c r="V18" s="1"/>
    </row>
    <row r="19" spans="1:38" ht="24" customHeight="1" x14ac:dyDescent="0.25">
      <c r="N19" t="s">
        <v>63</v>
      </c>
      <c r="P19" s="1"/>
      <c r="Q19" s="1" t="s">
        <v>64</v>
      </c>
      <c r="R19" s="1" t="s">
        <v>65</v>
      </c>
      <c r="S19" s="1" t="s">
        <v>66</v>
      </c>
      <c r="T19" s="1" t="s">
        <v>67</v>
      </c>
      <c r="U19" s="1" t="s">
        <v>68</v>
      </c>
      <c r="V19" s="1"/>
      <c r="Y19" s="1" t="s">
        <v>64</v>
      </c>
      <c r="Z19" s="1" t="s">
        <v>65</v>
      </c>
      <c r="AA19" s="1" t="s">
        <v>66</v>
      </c>
      <c r="AB19" s="1" t="s">
        <v>67</v>
      </c>
      <c r="AC19" s="1" t="s">
        <v>68</v>
      </c>
      <c r="AI19" t="s">
        <v>69</v>
      </c>
    </row>
    <row r="20" spans="1:38" ht="24" customHeight="1" x14ac:dyDescent="0.25">
      <c r="N20" s="41">
        <v>0</v>
      </c>
      <c r="O20" s="41">
        <v>1</v>
      </c>
      <c r="P20" s="2">
        <v>-1</v>
      </c>
      <c r="Q20" s="1"/>
      <c r="R20" s="11" cm="1">
        <f t="array" ref="R20:U22">MMULT(N20:P22,R10:U12)</f>
        <v>1</v>
      </c>
      <c r="S20" s="11">
        <v>-1</v>
      </c>
      <c r="T20" s="11">
        <v>4</v>
      </c>
      <c r="U20" s="11">
        <v>-2</v>
      </c>
      <c r="V20" s="1"/>
      <c r="Z20" s="11">
        <v>1</v>
      </c>
      <c r="AA20" s="11">
        <v>-1</v>
      </c>
      <c r="AB20" s="11">
        <v>4</v>
      </c>
      <c r="AC20" s="11">
        <v>-2</v>
      </c>
      <c r="AI20" s="33" cm="1">
        <f t="array" ref="AI20:AL22">MMULT(Z20:AC22,AI14:AL17)</f>
        <v>-1.9018698627274375</v>
      </c>
      <c r="AJ20" s="33">
        <v>-1.8217732745085569</v>
      </c>
      <c r="AK20" s="33">
        <v>-1.1957569109960773</v>
      </c>
      <c r="AL20" s="33">
        <v>-1.9772049138885539</v>
      </c>
    </row>
    <row r="21" spans="1:38" ht="24" customHeight="1" x14ac:dyDescent="0.25">
      <c r="N21" s="41">
        <v>1</v>
      </c>
      <c r="O21" s="41">
        <v>-1</v>
      </c>
      <c r="P21" s="2">
        <v>0</v>
      </c>
      <c r="Q21" s="1"/>
      <c r="R21" s="12">
        <v>-1</v>
      </c>
      <c r="S21" s="12">
        <v>2</v>
      </c>
      <c r="T21" s="12">
        <v>-2</v>
      </c>
      <c r="U21" s="12">
        <v>-1</v>
      </c>
      <c r="V21" s="1"/>
      <c r="Z21" s="12">
        <v>-1</v>
      </c>
      <c r="AA21" s="12">
        <v>2</v>
      </c>
      <c r="AB21" s="12">
        <v>-2</v>
      </c>
      <c r="AC21" s="12">
        <v>-1</v>
      </c>
      <c r="AI21" s="34">
        <v>-0.95879036493686798</v>
      </c>
      <c r="AJ21" s="34">
        <v>-0.99675774527712313</v>
      </c>
      <c r="AK21" s="34">
        <v>0.32254639310072036</v>
      </c>
      <c r="AL21" s="34">
        <v>-0.99488048305567844</v>
      </c>
    </row>
    <row r="22" spans="1:38" ht="24" customHeight="1" x14ac:dyDescent="0.25">
      <c r="N22" s="41">
        <v>1</v>
      </c>
      <c r="O22" s="41">
        <v>0</v>
      </c>
      <c r="P22" s="2">
        <v>-1</v>
      </c>
      <c r="Q22" s="1"/>
      <c r="R22" s="13">
        <v>0</v>
      </c>
      <c r="S22" s="13">
        <v>1</v>
      </c>
      <c r="T22" s="13">
        <v>2</v>
      </c>
      <c r="U22" s="13">
        <v>-3</v>
      </c>
      <c r="V22" s="1"/>
      <c r="Z22" s="13">
        <v>0</v>
      </c>
      <c r="AA22" s="13">
        <v>1</v>
      </c>
      <c r="AB22" s="13">
        <v>2</v>
      </c>
      <c r="AC22" s="13">
        <v>3</v>
      </c>
      <c r="AI22" s="35">
        <v>2.8885885815735444</v>
      </c>
      <c r="AJ22" s="35">
        <v>2.8282577839543106</v>
      </c>
      <c r="AK22" s="35">
        <v>1.7846128845637681</v>
      </c>
      <c r="AL22" s="35">
        <v>2.9755121338229835</v>
      </c>
    </row>
    <row r="23" spans="1:38" ht="24" customHeight="1" x14ac:dyDescent="0.25">
      <c r="P23" s="1"/>
      <c r="Q23" s="1"/>
      <c r="S23" s="1"/>
      <c r="T23" s="1"/>
      <c r="U23" s="1"/>
      <c r="AI23" s="1" t="s">
        <v>70</v>
      </c>
      <c r="AJ23" s="1" t="s">
        <v>71</v>
      </c>
      <c r="AK23" s="1" t="s">
        <v>72</v>
      </c>
      <c r="AL23" s="1" t="s">
        <v>73</v>
      </c>
    </row>
    <row r="25" spans="1:38" ht="24" customHeight="1" x14ac:dyDescent="0.25">
      <c r="P25" s="1"/>
      <c r="Q25" s="1"/>
      <c r="S25" s="1"/>
      <c r="T25" s="1"/>
      <c r="U25" s="1"/>
      <c r="X25" s="1"/>
      <c r="Y25" s="1"/>
      <c r="Z25" s="1"/>
      <c r="AH25" s="1"/>
      <c r="AI25" s="1"/>
      <c r="AJ25" s="1"/>
      <c r="AK25" s="1"/>
    </row>
    <row r="27" spans="1:38" s="40" customFormat="1" ht="24" customHeight="1" x14ac:dyDescent="0.25">
      <c r="A27" s="40" t="s">
        <v>76</v>
      </c>
      <c r="P27" s="14"/>
      <c r="Q27" s="14"/>
      <c r="S27" s="14"/>
      <c r="T27" s="14"/>
      <c r="U27" s="14"/>
      <c r="X27" s="14"/>
      <c r="Y27" s="14"/>
      <c r="Z27" s="14"/>
      <c r="AH27" s="14"/>
      <c r="AI27" s="14"/>
      <c r="AJ27" s="14"/>
      <c r="AK27" s="14"/>
    </row>
    <row r="29" spans="1:38" ht="24" customHeight="1" x14ac:dyDescent="0.25">
      <c r="R29" s="1" t="s">
        <v>37</v>
      </c>
      <c r="S29" s="1" t="s">
        <v>38</v>
      </c>
      <c r="T29" s="1" t="s">
        <v>39</v>
      </c>
      <c r="U29" s="1" t="s">
        <v>40</v>
      </c>
    </row>
    <row r="30" spans="1:38" ht="24" customHeight="1" x14ac:dyDescent="0.25">
      <c r="R30" s="8" cm="1">
        <f t="array" ref="R30:U32">MMULT(Z20:AC22,AI14:AL17)</f>
        <v>-1.9018698627274375</v>
      </c>
      <c r="S30" s="8">
        <v>-1.8217732745085569</v>
      </c>
      <c r="T30" s="8">
        <v>-1.1957569109960773</v>
      </c>
      <c r="U30" s="8">
        <v>-1.9772049138885539</v>
      </c>
    </row>
    <row r="31" spans="1:38" ht="24" customHeight="1" x14ac:dyDescent="0.25">
      <c r="R31" s="9">
        <v>-0.95879036493686798</v>
      </c>
      <c r="S31" s="9">
        <v>-0.99675774527712313</v>
      </c>
      <c r="T31" s="9">
        <v>0.32254639310072036</v>
      </c>
      <c r="U31" s="9">
        <v>-0.99488048305567844</v>
      </c>
    </row>
    <row r="32" spans="1:38" ht="24" customHeight="1" x14ac:dyDescent="0.25">
      <c r="R32" s="10">
        <v>2.8885885815735444</v>
      </c>
      <c r="S32" s="10">
        <v>2.8282577839543106</v>
      </c>
      <c r="T32" s="10">
        <v>1.7846128845637681</v>
      </c>
      <c r="U32" s="10">
        <v>2.9755121338229835</v>
      </c>
    </row>
    <row r="33" spans="12:21" ht="24" customHeight="1" x14ac:dyDescent="0.25">
      <c r="R33" s="1">
        <v>1</v>
      </c>
      <c r="S33" s="1">
        <v>1</v>
      </c>
      <c r="T33" s="1">
        <v>1</v>
      </c>
      <c r="U33" s="1">
        <v>1</v>
      </c>
    </row>
    <row r="35" spans="12:21" ht="24" customHeight="1" x14ac:dyDescent="0.25">
      <c r="M35" s="1" t="s">
        <v>24</v>
      </c>
      <c r="N35" s="1"/>
      <c r="O35" s="1"/>
      <c r="P35" s="1" t="s">
        <v>25</v>
      </c>
      <c r="Q35" s="1"/>
      <c r="R35" s="1"/>
      <c r="T35" s="1"/>
      <c r="U35" s="1"/>
    </row>
    <row r="36" spans="12:21" ht="24" customHeight="1" x14ac:dyDescent="0.25">
      <c r="M36" s="2">
        <v>1</v>
      </c>
      <c r="N36" s="2">
        <v>-1</v>
      </c>
      <c r="O36" s="2">
        <v>1</v>
      </c>
      <c r="P36" s="14">
        <v>4</v>
      </c>
      <c r="Q36" s="1"/>
      <c r="R36" s="11" cm="1">
        <f t="array" ref="R36:U39">MMULT(M36:O39, R30:U32) + P36:P39</f>
        <v>5.9455090837829747</v>
      </c>
      <c r="S36" s="11">
        <v>6.0032422547228768</v>
      </c>
      <c r="T36" s="11">
        <v>4.2663095804669702</v>
      </c>
      <c r="U36" s="11">
        <v>5.9931877029901077</v>
      </c>
    </row>
    <row r="37" spans="12:21" ht="24" customHeight="1" x14ac:dyDescent="0.25">
      <c r="M37" s="2">
        <v>1</v>
      </c>
      <c r="N37" s="2">
        <v>0</v>
      </c>
      <c r="O37" s="2">
        <v>2</v>
      </c>
      <c r="P37" s="14">
        <v>0</v>
      </c>
      <c r="Q37" s="1"/>
      <c r="R37" s="12">
        <v>3.8753073004196512</v>
      </c>
      <c r="S37" s="12">
        <v>3.8347422934000646</v>
      </c>
      <c r="T37" s="12">
        <v>2.3734688581314591</v>
      </c>
      <c r="U37" s="12">
        <v>3.9738193537574134</v>
      </c>
    </row>
    <row r="38" spans="12:21" ht="24" customHeight="1" x14ac:dyDescent="0.25">
      <c r="M38" s="2">
        <v>1</v>
      </c>
      <c r="N38" s="2">
        <v>0</v>
      </c>
      <c r="O38" s="2">
        <v>1</v>
      </c>
      <c r="P38" s="14">
        <v>6</v>
      </c>
      <c r="Q38" s="1"/>
      <c r="R38" s="12">
        <v>6.9867187188461068</v>
      </c>
      <c r="S38" s="12">
        <v>7.0064845094457535</v>
      </c>
      <c r="T38" s="12">
        <v>6.588855973567691</v>
      </c>
      <c r="U38" s="12">
        <v>6.9983072199344294</v>
      </c>
    </row>
    <row r="39" spans="12:21" ht="24" customHeight="1" x14ac:dyDescent="0.25">
      <c r="M39" s="2">
        <v>0</v>
      </c>
      <c r="N39" s="2">
        <v>1</v>
      </c>
      <c r="O39" s="2">
        <v>-1</v>
      </c>
      <c r="P39" s="14">
        <v>0</v>
      </c>
      <c r="Q39" s="1"/>
      <c r="R39" s="13">
        <v>-3.8473789465104122</v>
      </c>
      <c r="S39" s="13">
        <v>-3.8250155292314338</v>
      </c>
      <c r="T39" s="13">
        <v>-1.4620664914630477</v>
      </c>
      <c r="U39" s="13">
        <v>-3.9703926168786619</v>
      </c>
    </row>
    <row r="40" spans="12:21" ht="24" customHeight="1" x14ac:dyDescent="0.25">
      <c r="L40" s="1"/>
      <c r="M40" s="1"/>
      <c r="N40" s="1"/>
      <c r="O40" s="1"/>
      <c r="P40" s="1"/>
      <c r="Q40" s="1"/>
      <c r="R40" s="1"/>
      <c r="T40" s="1"/>
      <c r="U40" s="1"/>
    </row>
    <row r="41" spans="12:21" ht="24" customHeight="1" x14ac:dyDescent="0.25">
      <c r="L41" s="1"/>
      <c r="M41" s="1"/>
      <c r="N41" t="s">
        <v>27</v>
      </c>
      <c r="O41" s="1"/>
      <c r="P41" s="1"/>
      <c r="Q41" s="1"/>
      <c r="R41" s="11" cm="1">
        <f t="array" ref="R41:U44">_xlfn.MAP(_xlfn.ANCHORARRAY(R36),_xlfn.LAMBDA(_xlpm.x, MAX(_xlpm.x,0)))</f>
        <v>5.9455090837829747</v>
      </c>
      <c r="S41" s="11">
        <v>6.0032422547228768</v>
      </c>
      <c r="T41" s="11">
        <v>4.2663095804669702</v>
      </c>
      <c r="U41" s="11">
        <v>5.9931877029901077</v>
      </c>
    </row>
    <row r="42" spans="12:21" ht="24" customHeight="1" x14ac:dyDescent="0.25">
      <c r="L42" s="1"/>
      <c r="M42" s="1"/>
      <c r="N42" s="1"/>
      <c r="O42" s="1"/>
      <c r="P42" s="1"/>
      <c r="Q42" s="1"/>
      <c r="R42" s="12">
        <v>3.8753073004196512</v>
      </c>
      <c r="S42" s="12">
        <v>3.8347422934000646</v>
      </c>
      <c r="T42" s="12">
        <v>2.3734688581314591</v>
      </c>
      <c r="U42" s="12">
        <v>3.9738193537574134</v>
      </c>
    </row>
    <row r="43" spans="12:21" ht="24" customHeight="1" x14ac:dyDescent="0.25">
      <c r="L43" s="1"/>
      <c r="M43" s="1"/>
      <c r="N43" s="1"/>
      <c r="O43" s="1"/>
      <c r="P43" s="1"/>
      <c r="Q43" s="1"/>
      <c r="R43" s="12">
        <v>6.9867187188461068</v>
      </c>
      <c r="S43" s="12">
        <v>7.0064845094457535</v>
      </c>
      <c r="T43" s="12">
        <v>6.588855973567691</v>
      </c>
      <c r="U43" s="12">
        <v>6.9983072199344294</v>
      </c>
    </row>
    <row r="44" spans="12:21" ht="24" customHeight="1" x14ac:dyDescent="0.25">
      <c r="L44" s="1"/>
      <c r="M44" s="1"/>
      <c r="N44" s="1"/>
      <c r="O44" s="1"/>
      <c r="P44" s="1"/>
      <c r="Q44" s="1"/>
      <c r="R44" s="13">
        <v>0</v>
      </c>
      <c r="S44" s="13">
        <v>0</v>
      </c>
      <c r="T44" s="13">
        <v>0</v>
      </c>
      <c r="U44" s="13">
        <v>0</v>
      </c>
    </row>
    <row r="45" spans="12:21" ht="24" customHeight="1" x14ac:dyDescent="0.25">
      <c r="L45" s="3" t="s">
        <v>23</v>
      </c>
      <c r="M45" s="1"/>
      <c r="N45" s="1"/>
      <c r="O45" s="1"/>
      <c r="P45" s="1"/>
      <c r="Q45" s="1"/>
      <c r="R45" s="1">
        <v>1</v>
      </c>
      <c r="S45" s="1">
        <v>1</v>
      </c>
      <c r="T45" s="1">
        <v>1</v>
      </c>
      <c r="U45" s="1">
        <v>1</v>
      </c>
    </row>
    <row r="46" spans="12:21" ht="24" customHeight="1" x14ac:dyDescent="0.25">
      <c r="L46" s="1" t="s">
        <v>24</v>
      </c>
      <c r="M46" s="1"/>
      <c r="N46" s="1"/>
      <c r="O46" s="1"/>
      <c r="P46" s="1" t="s">
        <v>25</v>
      </c>
      <c r="Q46" s="3"/>
      <c r="R46" s="1"/>
      <c r="T46" s="3"/>
      <c r="U46" s="1"/>
    </row>
    <row r="47" spans="12:21" ht="24" customHeight="1" x14ac:dyDescent="0.25">
      <c r="L47" s="2">
        <v>1</v>
      </c>
      <c r="M47" s="2">
        <v>-1</v>
      </c>
      <c r="N47" s="2">
        <v>0</v>
      </c>
      <c r="O47" s="2">
        <v>0</v>
      </c>
      <c r="P47" s="14">
        <v>0</v>
      </c>
      <c r="R47" s="11" cm="1">
        <f t="array" ref="R47:U49">MMULT(L47:O49,_xlfn.ANCHORARRAY( R41)) + P47:P49</f>
        <v>2.0702017833633235</v>
      </c>
      <c r="S47" s="11">
        <v>2.1684999613228122</v>
      </c>
      <c r="T47" s="11">
        <v>1.892840722335511</v>
      </c>
      <c r="U47" s="11">
        <v>2.0193683492326944</v>
      </c>
    </row>
    <row r="48" spans="12:21" ht="24" customHeight="1" x14ac:dyDescent="0.25">
      <c r="L48" s="2">
        <v>0</v>
      </c>
      <c r="M48" s="2">
        <v>1</v>
      </c>
      <c r="N48" s="2">
        <v>0</v>
      </c>
      <c r="O48" s="2">
        <v>1</v>
      </c>
      <c r="P48" s="14">
        <v>5</v>
      </c>
      <c r="R48" s="12">
        <v>8.8753073004196512</v>
      </c>
      <c r="S48" s="12">
        <v>8.8347422934000654</v>
      </c>
      <c r="T48" s="12">
        <v>7.3734688581314591</v>
      </c>
      <c r="U48" s="12">
        <v>8.9738193537574134</v>
      </c>
    </row>
    <row r="49" spans="1:30" ht="24" customHeight="1" x14ac:dyDescent="0.25">
      <c r="L49" s="2">
        <v>0</v>
      </c>
      <c r="M49" s="2">
        <v>0</v>
      </c>
      <c r="N49" s="2">
        <v>1</v>
      </c>
      <c r="O49" s="2">
        <v>-1</v>
      </c>
      <c r="P49" s="14">
        <v>-3</v>
      </c>
      <c r="R49" s="13">
        <v>3.9867187188461068</v>
      </c>
      <c r="S49" s="13">
        <v>4.0064845094457535</v>
      </c>
      <c r="T49" s="13">
        <v>3.588855973567691</v>
      </c>
      <c r="U49" s="13">
        <v>3.9983072199344294</v>
      </c>
    </row>
    <row r="51" spans="1:30" ht="24" customHeight="1" x14ac:dyDescent="0.25">
      <c r="N51" t="s">
        <v>27</v>
      </c>
      <c r="R51" s="11" cm="1">
        <f t="array" ref="R51:U53">_xlfn.MAP(_xlfn.ANCHORARRAY(R47),_xlfn.LAMBDA(_xlpm.x, MAX(_xlpm.x,0)))</f>
        <v>2.0702017833633235</v>
      </c>
      <c r="S51" s="11">
        <v>2.1684999613228122</v>
      </c>
      <c r="T51" s="11">
        <v>1.892840722335511</v>
      </c>
      <c r="U51" s="11">
        <v>2.0193683492326944</v>
      </c>
    </row>
    <row r="52" spans="1:30" ht="24" customHeight="1" x14ac:dyDescent="0.25">
      <c r="R52" s="12">
        <v>8.8753073004196512</v>
      </c>
      <c r="S52" s="12">
        <v>8.8347422934000654</v>
      </c>
      <c r="T52" s="12">
        <v>7.3734688581314591</v>
      </c>
      <c r="U52" s="12">
        <v>8.9738193537574134</v>
      </c>
    </row>
    <row r="53" spans="1:30" ht="24" customHeight="1" x14ac:dyDescent="0.25">
      <c r="Q53" s="27"/>
      <c r="R53" s="13">
        <v>3.9867187188461068</v>
      </c>
      <c r="S53" s="13">
        <v>4.0064845094457535</v>
      </c>
      <c r="T53" s="13">
        <v>3.588855973567691</v>
      </c>
      <c r="U53" s="13">
        <v>3.9983072199344294</v>
      </c>
    </row>
    <row r="55" spans="1:30" s="5" customFormat="1" ht="24" customHeight="1" x14ac:dyDescent="0.35">
      <c r="A55" s="4" t="s">
        <v>77</v>
      </c>
    </row>
    <row r="57" spans="1:30" s="40" customFormat="1" ht="24" customHeight="1" x14ac:dyDescent="0.25">
      <c r="A57" s="40" t="s">
        <v>75</v>
      </c>
      <c r="I57" s="14"/>
      <c r="J57" s="14"/>
      <c r="L57" s="14"/>
      <c r="M57" s="14"/>
      <c r="N57" s="14"/>
      <c r="Q57" s="14"/>
      <c r="R57" s="14"/>
      <c r="S57" s="14"/>
      <c r="AA57" s="14"/>
      <c r="AB57" s="14"/>
      <c r="AC57" s="14"/>
      <c r="AD57" s="14"/>
    </row>
    <row r="58" spans="1:30" ht="24" customHeight="1" x14ac:dyDescent="0.25">
      <c r="I58" s="1"/>
      <c r="N58" s="1"/>
      <c r="O58" s="1"/>
      <c r="Y58" t="s">
        <v>30</v>
      </c>
    </row>
    <row r="59" spans="1:30" ht="24" customHeight="1" x14ac:dyDescent="0.25">
      <c r="I59" s="1"/>
      <c r="N59" s="1"/>
      <c r="O59" s="1"/>
      <c r="Z59" s="11">
        <v>5</v>
      </c>
      <c r="AA59" s="11">
        <v>2</v>
      </c>
      <c r="AB59" s="11">
        <v>1</v>
      </c>
      <c r="AC59" s="11">
        <v>1</v>
      </c>
    </row>
    <row r="60" spans="1:30" ht="24" customHeight="1" x14ac:dyDescent="0.25">
      <c r="I60" s="1"/>
      <c r="N60" s="1"/>
      <c r="O60" s="1"/>
      <c r="Z60" s="12">
        <v>2</v>
      </c>
      <c r="AA60" s="12">
        <v>5</v>
      </c>
      <c r="AB60" s="12">
        <v>2</v>
      </c>
      <c r="AC60" s="12">
        <v>1</v>
      </c>
    </row>
    <row r="61" spans="1:30" ht="24" customHeight="1" x14ac:dyDescent="0.25">
      <c r="I61" s="1"/>
      <c r="K61" t="s">
        <v>48</v>
      </c>
      <c r="N61" s="1"/>
      <c r="O61" s="1"/>
      <c r="Q61" t="s">
        <v>78</v>
      </c>
      <c r="Z61" s="12">
        <v>1</v>
      </c>
      <c r="AA61" s="12">
        <v>2</v>
      </c>
      <c r="AB61" s="12">
        <v>5</v>
      </c>
      <c r="AC61" s="12">
        <v>2</v>
      </c>
    </row>
    <row r="62" spans="1:30" ht="24" customHeight="1" x14ac:dyDescent="0.25">
      <c r="I62" s="1"/>
      <c r="N62" s="1"/>
      <c r="O62" s="1"/>
      <c r="Q62" t="s">
        <v>79</v>
      </c>
      <c r="Z62" s="13">
        <v>1</v>
      </c>
      <c r="AA62" s="13">
        <v>1</v>
      </c>
      <c r="AB62" s="13">
        <v>1</v>
      </c>
      <c r="AC62" s="13">
        <v>5</v>
      </c>
    </row>
    <row r="63" spans="1:30" ht="24" customHeight="1" x14ac:dyDescent="0.25">
      <c r="I63" s="1"/>
      <c r="J63" t="s">
        <v>36</v>
      </c>
      <c r="K63" s="1" t="s">
        <v>2</v>
      </c>
      <c r="L63" s="1" t="s">
        <v>3</v>
      </c>
      <c r="M63" s="1" t="s">
        <v>4</v>
      </c>
      <c r="N63" s="1" t="s">
        <v>5</v>
      </c>
      <c r="O63" s="1"/>
      <c r="Q63" s="1" t="s">
        <v>2</v>
      </c>
      <c r="R63" s="1" t="s">
        <v>3</v>
      </c>
      <c r="S63" s="1" t="s">
        <v>4</v>
      </c>
      <c r="T63" s="1" t="s">
        <v>5</v>
      </c>
      <c r="Y63" t="s">
        <v>69</v>
      </c>
    </row>
    <row r="64" spans="1:30" ht="24" customHeight="1" x14ac:dyDescent="0.25">
      <c r="I64" s="1"/>
      <c r="K64" s="8">
        <v>1</v>
      </c>
      <c r="L64" s="8">
        <v>2</v>
      </c>
      <c r="M64" s="8">
        <v>1</v>
      </c>
      <c r="N64" s="8">
        <v>0</v>
      </c>
      <c r="O64" s="1"/>
      <c r="Q64" s="8">
        <v>1</v>
      </c>
      <c r="R64" s="8">
        <v>2</v>
      </c>
      <c r="S64" s="8">
        <v>1</v>
      </c>
      <c r="T64" s="8">
        <v>0</v>
      </c>
      <c r="Z64" s="33" cm="1">
        <f t="array" ref="Z64:AC66">MMULT(Q64:T66,Z59:AC62)</f>
        <v>10</v>
      </c>
      <c r="AA64" s="33">
        <v>14</v>
      </c>
      <c r="AB64" s="33">
        <v>10</v>
      </c>
      <c r="AC64" s="33">
        <v>5</v>
      </c>
    </row>
    <row r="65" spans="1:30" ht="24" customHeight="1" x14ac:dyDescent="0.25">
      <c r="I65" s="1"/>
      <c r="J65" s="1"/>
      <c r="K65" s="9">
        <v>2</v>
      </c>
      <c r="L65" s="9">
        <v>0</v>
      </c>
      <c r="M65" s="9">
        <v>3</v>
      </c>
      <c r="N65" s="9">
        <v>1</v>
      </c>
      <c r="O65" s="1"/>
      <c r="Q65" s="9">
        <v>2</v>
      </c>
      <c r="R65" s="9">
        <v>0</v>
      </c>
      <c r="S65" s="9">
        <v>3</v>
      </c>
      <c r="T65" s="9">
        <v>1</v>
      </c>
      <c r="Z65" s="34">
        <v>14</v>
      </c>
      <c r="AA65" s="34">
        <v>11</v>
      </c>
      <c r="AB65" s="34">
        <v>18</v>
      </c>
      <c r="AC65" s="34">
        <v>13</v>
      </c>
    </row>
    <row r="66" spans="1:30" ht="24" customHeight="1" x14ac:dyDescent="0.25">
      <c r="I66" s="1"/>
      <c r="J66" s="1"/>
      <c r="K66" s="10">
        <v>1</v>
      </c>
      <c r="L66" s="10">
        <v>1</v>
      </c>
      <c r="M66" s="10">
        <v>-1</v>
      </c>
      <c r="N66" s="10">
        <v>3</v>
      </c>
      <c r="O66" s="1"/>
      <c r="Q66" s="10">
        <v>1</v>
      </c>
      <c r="R66" s="10">
        <v>1</v>
      </c>
      <c r="S66" s="10">
        <v>-1</v>
      </c>
      <c r="T66" s="10">
        <v>3</v>
      </c>
      <c r="Z66" s="35">
        <v>9</v>
      </c>
      <c r="AA66" s="35">
        <v>8</v>
      </c>
      <c r="AB66" s="35">
        <v>1</v>
      </c>
      <c r="AC66" s="35">
        <v>15</v>
      </c>
    </row>
    <row r="67" spans="1:30" ht="24" customHeight="1" x14ac:dyDescent="0.25">
      <c r="I67" s="1"/>
      <c r="J67" s="1"/>
      <c r="M67" s="1"/>
      <c r="N67" s="1"/>
      <c r="O67" s="1"/>
      <c r="Z67" s="1" t="s">
        <v>17</v>
      </c>
      <c r="AA67" s="1" t="s">
        <v>18</v>
      </c>
      <c r="AB67" s="1" t="s">
        <v>19</v>
      </c>
      <c r="AC67" s="1" t="s">
        <v>20</v>
      </c>
    </row>
    <row r="68" spans="1:30" ht="24" customHeight="1" x14ac:dyDescent="0.25">
      <c r="I68" s="1"/>
      <c r="J68" s="1"/>
      <c r="L68" s="1"/>
      <c r="M68" s="1"/>
      <c r="N68" s="1"/>
      <c r="Q68" s="1"/>
      <c r="R68" s="1"/>
      <c r="S68" s="1"/>
      <c r="AA68" s="1"/>
      <c r="AB68" s="1"/>
      <c r="AC68" s="1"/>
      <c r="AD68" s="1"/>
    </row>
    <row r="69" spans="1:30" s="40" customFormat="1" ht="24" customHeight="1" x14ac:dyDescent="0.25">
      <c r="A69" s="40" t="s">
        <v>80</v>
      </c>
      <c r="I69" s="14"/>
      <c r="J69" s="14"/>
      <c r="L69" s="14"/>
      <c r="M69" s="14"/>
      <c r="N69" s="14"/>
      <c r="Q69" s="14"/>
      <c r="R69" s="14"/>
      <c r="S69" s="14"/>
      <c r="AA69" s="14"/>
      <c r="AB69" s="14"/>
      <c r="AC69" s="14"/>
      <c r="AD69" s="14"/>
    </row>
    <row r="70" spans="1:30" ht="24" customHeight="1" x14ac:dyDescent="0.25">
      <c r="I70" s="1"/>
      <c r="J70" s="1"/>
      <c r="N70" s="1"/>
      <c r="O70" s="1"/>
      <c r="Y70" t="s">
        <v>30</v>
      </c>
    </row>
    <row r="71" spans="1:30" ht="24" customHeight="1" x14ac:dyDescent="0.25">
      <c r="I71" s="1"/>
      <c r="J71" s="1"/>
      <c r="N71" s="1"/>
      <c r="O71" s="1"/>
      <c r="Z71" s="11">
        <v>5</v>
      </c>
      <c r="AA71" s="11">
        <v>5</v>
      </c>
      <c r="AB71" s="11">
        <v>5</v>
      </c>
      <c r="AC71" s="11">
        <v>5</v>
      </c>
    </row>
    <row r="72" spans="1:30" ht="24" customHeight="1" x14ac:dyDescent="0.25">
      <c r="I72" s="1"/>
      <c r="J72" s="1"/>
      <c r="N72" s="1"/>
      <c r="O72" s="1"/>
      <c r="Z72" s="12">
        <v>5</v>
      </c>
      <c r="AA72" s="12">
        <v>5</v>
      </c>
      <c r="AB72" s="12">
        <v>5</v>
      </c>
      <c r="AC72" s="12">
        <v>5</v>
      </c>
    </row>
    <row r="73" spans="1:30" ht="24" customHeight="1" x14ac:dyDescent="0.25">
      <c r="I73" s="1"/>
      <c r="J73" s="1"/>
      <c r="N73" s="1"/>
      <c r="O73" s="1"/>
      <c r="Z73" s="12">
        <v>2</v>
      </c>
      <c r="AA73" s="12">
        <v>2</v>
      </c>
      <c r="AB73" s="12">
        <v>2</v>
      </c>
      <c r="AC73" s="12">
        <v>2</v>
      </c>
    </row>
    <row r="74" spans="1:30" ht="24" customHeight="1" x14ac:dyDescent="0.25">
      <c r="I74" s="1"/>
      <c r="J74" s="1"/>
      <c r="N74" s="1"/>
      <c r="O74" s="1"/>
      <c r="Z74" s="12">
        <v>2</v>
      </c>
      <c r="AA74" s="12">
        <v>2</v>
      </c>
      <c r="AB74" s="12">
        <v>2</v>
      </c>
      <c r="AC74" s="12">
        <v>2</v>
      </c>
    </row>
    <row r="75" spans="1:30" ht="24" customHeight="1" x14ac:dyDescent="0.25">
      <c r="Z75" s="12">
        <v>1</v>
      </c>
      <c r="AA75" s="12">
        <v>1</v>
      </c>
      <c r="AB75" s="12">
        <v>1</v>
      </c>
      <c r="AC75" s="12">
        <v>1</v>
      </c>
    </row>
    <row r="76" spans="1:30" ht="24" customHeight="1" x14ac:dyDescent="0.25">
      <c r="C76" t="s">
        <v>81</v>
      </c>
      <c r="K76" t="s">
        <v>48</v>
      </c>
      <c r="Q76" t="s">
        <v>81</v>
      </c>
      <c r="Z76" s="13">
        <v>1</v>
      </c>
      <c r="AA76" s="13">
        <v>1</v>
      </c>
      <c r="AB76" s="13">
        <v>1</v>
      </c>
      <c r="AC76" s="13">
        <v>1</v>
      </c>
    </row>
    <row r="77" spans="1:30" ht="24" customHeight="1" x14ac:dyDescent="0.25">
      <c r="Q77" t="s">
        <v>82</v>
      </c>
    </row>
    <row r="78" spans="1:30" ht="24" customHeight="1" x14ac:dyDescent="0.25">
      <c r="B78" t="s">
        <v>83</v>
      </c>
      <c r="C78" s="1" t="s">
        <v>84</v>
      </c>
      <c r="D78" s="1" t="s">
        <v>85</v>
      </c>
      <c r="E78" s="1" t="s">
        <v>86</v>
      </c>
      <c r="F78" s="1" t="s">
        <v>87</v>
      </c>
      <c r="G78" t="s">
        <v>88</v>
      </c>
      <c r="H78" s="1" t="s">
        <v>89</v>
      </c>
      <c r="I78" s="1"/>
      <c r="J78" s="1" t="s">
        <v>36</v>
      </c>
      <c r="K78" s="1" t="s">
        <v>2</v>
      </c>
      <c r="L78" s="1" t="s">
        <v>3</v>
      </c>
      <c r="M78" s="1" t="s">
        <v>4</v>
      </c>
      <c r="N78" s="1" t="s">
        <v>5</v>
      </c>
      <c r="O78" s="1"/>
      <c r="Q78" s="1" t="s">
        <v>84</v>
      </c>
      <c r="R78" s="1" t="s">
        <v>85</v>
      </c>
      <c r="S78" s="1" t="s">
        <v>86</v>
      </c>
      <c r="T78" s="1" t="s">
        <v>87</v>
      </c>
      <c r="U78" t="s">
        <v>88</v>
      </c>
      <c r="V78" s="1" t="s">
        <v>89</v>
      </c>
      <c r="Y78" t="s">
        <v>69</v>
      </c>
    </row>
    <row r="79" spans="1:30" ht="24" customHeight="1" x14ac:dyDescent="0.25">
      <c r="C79" s="15">
        <v>1</v>
      </c>
      <c r="D79" s="15">
        <v>2</v>
      </c>
      <c r="E79" s="15">
        <v>1</v>
      </c>
      <c r="F79" s="15">
        <v>0</v>
      </c>
      <c r="G79" s="15">
        <v>1</v>
      </c>
      <c r="H79" s="15">
        <v>0</v>
      </c>
      <c r="I79" s="1"/>
      <c r="J79" s="1"/>
      <c r="K79" s="8">
        <v>1</v>
      </c>
      <c r="L79" s="8">
        <v>2</v>
      </c>
      <c r="M79" s="8">
        <v>1</v>
      </c>
      <c r="N79" s="8">
        <v>0</v>
      </c>
      <c r="O79" s="1"/>
      <c r="Q79" s="15">
        <v>1</v>
      </c>
      <c r="R79" s="15">
        <v>2</v>
      </c>
      <c r="S79" s="15">
        <v>1</v>
      </c>
      <c r="T79" s="15">
        <v>0</v>
      </c>
      <c r="U79" s="15">
        <v>1</v>
      </c>
      <c r="V79" s="15">
        <v>0</v>
      </c>
      <c r="Z79" s="33" cm="1">
        <f t="array" ref="Z79:AC81">MMULT(Q79:V81,Z71:AC76)</f>
        <v>18</v>
      </c>
      <c r="AA79" s="33">
        <v>18</v>
      </c>
      <c r="AB79" s="33">
        <v>18</v>
      </c>
      <c r="AC79" s="33">
        <v>18</v>
      </c>
    </row>
    <row r="80" spans="1:30" ht="24" customHeight="1" x14ac:dyDescent="0.25">
      <c r="C80" s="25">
        <v>2</v>
      </c>
      <c r="D80" s="25">
        <v>0</v>
      </c>
      <c r="E80" s="25">
        <v>3</v>
      </c>
      <c r="F80" s="25">
        <v>1</v>
      </c>
      <c r="G80" s="25">
        <v>3</v>
      </c>
      <c r="H80" s="25">
        <v>1</v>
      </c>
      <c r="I80" s="1"/>
      <c r="J80" s="1"/>
      <c r="K80" s="9">
        <v>2</v>
      </c>
      <c r="L80" s="9">
        <v>0</v>
      </c>
      <c r="M80" s="9">
        <v>3</v>
      </c>
      <c r="N80" s="9">
        <v>1</v>
      </c>
      <c r="O80" s="1"/>
      <c r="Q80" s="25">
        <v>2</v>
      </c>
      <c r="R80" s="25">
        <v>0</v>
      </c>
      <c r="S80" s="25">
        <v>3</v>
      </c>
      <c r="T80" s="25">
        <v>1</v>
      </c>
      <c r="U80" s="25">
        <v>3</v>
      </c>
      <c r="V80" s="25">
        <v>1</v>
      </c>
      <c r="Z80" s="34">
        <v>22</v>
      </c>
      <c r="AA80" s="34">
        <v>22</v>
      </c>
      <c r="AB80" s="34">
        <v>22</v>
      </c>
      <c r="AC80" s="34">
        <v>22</v>
      </c>
    </row>
    <row r="81" spans="1:31" ht="24" customHeight="1" x14ac:dyDescent="0.25">
      <c r="C81" s="16">
        <v>1</v>
      </c>
      <c r="D81" s="16">
        <v>1</v>
      </c>
      <c r="E81" s="16">
        <v>-1</v>
      </c>
      <c r="F81" s="16">
        <v>3</v>
      </c>
      <c r="G81" s="16">
        <v>-1</v>
      </c>
      <c r="H81" s="16">
        <v>3</v>
      </c>
      <c r="I81" s="1"/>
      <c r="J81" s="1"/>
      <c r="K81" s="10">
        <v>1</v>
      </c>
      <c r="L81" s="10">
        <v>1</v>
      </c>
      <c r="M81" s="10">
        <v>-1</v>
      </c>
      <c r="N81" s="10">
        <v>3</v>
      </c>
      <c r="O81" s="1"/>
      <c r="Q81" s="16">
        <v>1</v>
      </c>
      <c r="R81" s="16">
        <v>1</v>
      </c>
      <c r="S81" s="16">
        <v>-1</v>
      </c>
      <c r="T81" s="16">
        <v>3</v>
      </c>
      <c r="U81" s="16">
        <v>-1</v>
      </c>
      <c r="V81" s="16">
        <v>3</v>
      </c>
      <c r="Z81" s="35">
        <v>16</v>
      </c>
      <c r="AA81" s="35">
        <v>16</v>
      </c>
      <c r="AB81" s="35">
        <v>16</v>
      </c>
      <c r="AC81" s="35">
        <v>16</v>
      </c>
    </row>
    <row r="82" spans="1:31" ht="24" customHeight="1" x14ac:dyDescent="0.25">
      <c r="I82" s="1"/>
      <c r="J82" s="1"/>
      <c r="M82" s="1"/>
      <c r="N82" s="1"/>
      <c r="O82" s="1"/>
      <c r="Z82" s="1" t="s">
        <v>17</v>
      </c>
      <c r="AA82" s="1" t="s">
        <v>18</v>
      </c>
      <c r="AB82" s="1" t="s">
        <v>19</v>
      </c>
      <c r="AC82" s="1" t="s">
        <v>20</v>
      </c>
    </row>
    <row r="85" spans="1:31" s="5" customFormat="1" ht="24" customHeight="1" x14ac:dyDescent="0.35">
      <c r="A85" s="4" t="s">
        <v>90</v>
      </c>
    </row>
    <row r="87" spans="1:31" s="40" customFormat="1" ht="24" customHeight="1" x14ac:dyDescent="0.25">
      <c r="A87" s="40" t="s">
        <v>75</v>
      </c>
      <c r="I87" s="14"/>
      <c r="J87" s="14"/>
      <c r="L87" s="14"/>
      <c r="M87" s="14"/>
      <c r="N87" s="14"/>
      <c r="Q87" s="14"/>
      <c r="R87" s="14"/>
      <c r="S87" s="14"/>
      <c r="AA87" s="14"/>
      <c r="AB87" s="14"/>
      <c r="AC87" s="14"/>
      <c r="AD87" s="14"/>
    </row>
    <row r="88" spans="1:31" ht="24" customHeight="1" x14ac:dyDescent="0.25">
      <c r="I88" s="1"/>
      <c r="J88" s="1"/>
      <c r="L88" s="1"/>
      <c r="M88" s="1"/>
      <c r="N88" s="1"/>
      <c r="Q88" s="1"/>
      <c r="R88" s="1"/>
      <c r="S88" s="1"/>
      <c r="AA88" s="1"/>
      <c r="AB88" s="1"/>
      <c r="AC88" s="1"/>
      <c r="AD88" s="1"/>
    </row>
    <row r="89" spans="1:31" ht="24" customHeight="1" x14ac:dyDescent="0.25">
      <c r="I89" s="1"/>
      <c r="N89" s="1"/>
      <c r="O89" s="1"/>
    </row>
    <row r="90" spans="1:31" ht="24" customHeight="1" x14ac:dyDescent="0.25">
      <c r="I90" s="1"/>
      <c r="K90" t="s">
        <v>48</v>
      </c>
      <c r="N90" s="1"/>
      <c r="O90" s="1"/>
    </row>
    <row r="91" spans="1:31" ht="24" customHeight="1" x14ac:dyDescent="0.25">
      <c r="I91" s="1"/>
      <c r="N91" s="1"/>
      <c r="O91" s="1"/>
    </row>
    <row r="92" spans="1:31" ht="24" customHeight="1" x14ac:dyDescent="0.25">
      <c r="I92" s="1"/>
      <c r="K92" s="1" t="s">
        <v>37</v>
      </c>
      <c r="L92" s="1" t="s">
        <v>38</v>
      </c>
      <c r="M92" s="1" t="s">
        <v>39</v>
      </c>
      <c r="N92" s="1" t="s">
        <v>40</v>
      </c>
      <c r="O92" s="1"/>
      <c r="Y92" t="s">
        <v>49</v>
      </c>
      <c r="Z92" s="1" t="s">
        <v>50</v>
      </c>
      <c r="AA92" s="1" t="s">
        <v>51</v>
      </c>
      <c r="AB92" s="1" t="s">
        <v>52</v>
      </c>
      <c r="AC92" s="1" t="s">
        <v>53</v>
      </c>
    </row>
    <row r="93" spans="1:31" ht="24" customHeight="1" x14ac:dyDescent="0.25">
      <c r="I93" s="1"/>
      <c r="K93" s="8">
        <v>1</v>
      </c>
      <c r="L93" s="8">
        <v>2</v>
      </c>
      <c r="M93" s="8">
        <v>1</v>
      </c>
      <c r="N93" s="8">
        <v>0</v>
      </c>
      <c r="O93" s="1"/>
      <c r="S93" s="1"/>
      <c r="T93" s="1"/>
      <c r="Z93" s="44">
        <v>3</v>
      </c>
      <c r="AA93" s="44">
        <v>1</v>
      </c>
      <c r="AB93" s="44">
        <v>2</v>
      </c>
      <c r="AC93" s="44">
        <v>4</v>
      </c>
    </row>
    <row r="94" spans="1:31" ht="24" customHeight="1" x14ac:dyDescent="0.25">
      <c r="I94" s="1"/>
      <c r="J94" s="1"/>
      <c r="K94" s="9">
        <v>2</v>
      </c>
      <c r="L94" s="9">
        <v>0</v>
      </c>
      <c r="M94" s="9">
        <v>3</v>
      </c>
      <c r="N94" s="9">
        <v>1</v>
      </c>
      <c r="O94" s="1"/>
      <c r="S94" s="1"/>
      <c r="T94" s="1"/>
      <c r="Z94" s="45">
        <v>2</v>
      </c>
      <c r="AA94" s="45">
        <v>3</v>
      </c>
      <c r="AB94" s="45">
        <v>0</v>
      </c>
      <c r="AC94" s="45">
        <v>3</v>
      </c>
    </row>
    <row r="95" spans="1:31" ht="24" customHeight="1" x14ac:dyDescent="0.25">
      <c r="I95" s="1"/>
      <c r="J95" s="1"/>
      <c r="K95" s="10">
        <v>1</v>
      </c>
      <c r="L95" s="10">
        <v>1</v>
      </c>
      <c r="M95" s="10">
        <v>-1</v>
      </c>
      <c r="N95" s="10">
        <v>3</v>
      </c>
      <c r="O95" s="1"/>
      <c r="S95" s="1"/>
      <c r="T95" s="1"/>
      <c r="AA95" s="1"/>
      <c r="AB95" s="1"/>
      <c r="AC95" s="1"/>
    </row>
    <row r="96" spans="1:31" ht="24" customHeight="1" x14ac:dyDescent="0.25">
      <c r="I96" s="1"/>
      <c r="J96" s="1" t="s">
        <v>49</v>
      </c>
      <c r="K96" s="46" t="s">
        <v>50</v>
      </c>
      <c r="L96" s="46" t="s">
        <v>51</v>
      </c>
      <c r="M96" s="46" t="s">
        <v>52</v>
      </c>
      <c r="N96" s="46" t="s">
        <v>53</v>
      </c>
      <c r="O96" s="1"/>
      <c r="S96" s="1"/>
      <c r="T96" s="1"/>
      <c r="U96" t="s">
        <v>60</v>
      </c>
      <c r="AE96" t="s">
        <v>46</v>
      </c>
    </row>
    <row r="97" spans="1:34" ht="24" customHeight="1" x14ac:dyDescent="0.25">
      <c r="G97" s="41">
        <v>0</v>
      </c>
      <c r="H97" s="41">
        <v>1</v>
      </c>
      <c r="I97" s="2">
        <v>1</v>
      </c>
      <c r="J97" s="1"/>
      <c r="K97" s="44" cm="1">
        <f t="array" ref="K97:N98">MMULT(G97:I98,K93:N95)</f>
        <v>3</v>
      </c>
      <c r="L97" s="44">
        <v>1</v>
      </c>
      <c r="M97" s="44">
        <v>2</v>
      </c>
      <c r="N97" s="44">
        <v>4</v>
      </c>
      <c r="O97" s="1"/>
      <c r="U97" s="46" t="s">
        <v>57</v>
      </c>
      <c r="V97" s="42">
        <v>3</v>
      </c>
      <c r="W97" s="43">
        <v>2</v>
      </c>
      <c r="Z97" s="11" cm="1">
        <f t="array" ref="Z97">MMULT(V97:W97,Z93:Z94)/SQRT(2)</f>
        <v>9.1923881554251174</v>
      </c>
      <c r="AA97" s="11" cm="1">
        <f t="array" ref="AA97">MMULT(V97:W97,AA93:AA94)/SQRT(2)</f>
        <v>6.3639610306789276</v>
      </c>
      <c r="AB97" s="11" cm="1">
        <f t="array" ref="AB97">MMULT(V97:W97,AB93:AB94)/SQRT(2)</f>
        <v>4.2426406871192848</v>
      </c>
      <c r="AC97" s="11" cm="1">
        <f t="array" ref="AC97">MMULT(V97:W97,AC93:AC94)/SQRT(2)</f>
        <v>12.727922061357855</v>
      </c>
      <c r="AE97" s="11" cm="1">
        <f t="array" ref="AE97:AE100">EXP(Z97:Z100)/SUM(EXP(Z97:Z100))</f>
        <v>2.8264939029946215E-2</v>
      </c>
      <c r="AF97" s="11" cm="1">
        <f t="array" ref="AF97:AF100">EXP(AA97:AA100)/SUM(EXP(AA97:AA100))</f>
        <v>5.0115192631476228E-2</v>
      </c>
      <c r="AG97" s="11" cm="1">
        <f t="array" ref="AG97:AG100">EXP(AB97:AB100)/SUM(EXP(AB97:AB100))</f>
        <v>0.18465608191429309</v>
      </c>
      <c r="AH97" s="11" cm="1">
        <f t="array" ref="AH97:AH100">EXP(AC97:AC100)/SUM(EXP(AC97:AC100))</f>
        <v>0.9990891002928769</v>
      </c>
    </row>
    <row r="98" spans="1:34" ht="24" customHeight="1" x14ac:dyDescent="0.25">
      <c r="G98" s="41">
        <v>1</v>
      </c>
      <c r="H98" s="41">
        <v>0</v>
      </c>
      <c r="I98" s="2">
        <v>1</v>
      </c>
      <c r="J98" s="1"/>
      <c r="K98" s="45">
        <v>2</v>
      </c>
      <c r="L98" s="45">
        <v>3</v>
      </c>
      <c r="M98" s="45">
        <v>0</v>
      </c>
      <c r="N98" s="45">
        <v>3</v>
      </c>
      <c r="O98" s="1"/>
      <c r="U98" s="46" t="s">
        <v>58</v>
      </c>
      <c r="V98" s="42">
        <v>1</v>
      </c>
      <c r="W98" s="43">
        <v>3</v>
      </c>
      <c r="Z98" s="11" cm="1">
        <f t="array" ref="Z98">MMULT(V98:W98,Z93:Z94)/SQRT(2)</f>
        <v>6.3639610306789276</v>
      </c>
      <c r="AA98" s="12" cm="1">
        <f t="array" ref="AA98">MMULT(V98:W98,AA93:AA94)/SQRT(2)</f>
        <v>7.0710678118654746</v>
      </c>
      <c r="AB98" s="12" cm="1">
        <f t="array" ref="AB98">MMULT(V98:W98,AB93:AB94)/SQRT(2)</f>
        <v>1.4142135623730949</v>
      </c>
      <c r="AC98" s="12" cm="1">
        <f t="array" ref="AC98">MMULT(V98:W98,AB93:AB94)/SQRT(2)</f>
        <v>1.4142135623730949</v>
      </c>
      <c r="AE98" s="12">
        <v>1.6706203228931469E-3</v>
      </c>
      <c r="AF98" s="12">
        <v>0.10163937298404591</v>
      </c>
      <c r="AG98" s="12">
        <v>1.0914235578750039E-2</v>
      </c>
      <c r="AH98" s="12">
        <v>1.2193350280329116E-5</v>
      </c>
    </row>
    <row r="99" spans="1:34" ht="24" customHeight="1" x14ac:dyDescent="0.25">
      <c r="I99" s="1"/>
      <c r="J99" s="1" t="s">
        <v>60</v>
      </c>
      <c r="K99" s="46" t="s">
        <v>57</v>
      </c>
      <c r="L99" s="46" t="s">
        <v>58</v>
      </c>
      <c r="M99" s="46" t="s">
        <v>61</v>
      </c>
      <c r="N99" s="46" t="s">
        <v>62</v>
      </c>
      <c r="O99" s="1"/>
      <c r="U99" s="46" t="s">
        <v>61</v>
      </c>
      <c r="V99" s="42">
        <v>2</v>
      </c>
      <c r="W99" s="43">
        <v>0</v>
      </c>
      <c r="Z99" s="11" cm="1">
        <f t="array" ref="Z99">MMULT(V99:W99,Z93:Z94)/SQRT(2)</f>
        <v>4.2426406871192848</v>
      </c>
      <c r="AA99" s="12" cm="1">
        <f t="array" ref="AA99">MMULT(V99:W99,AA93:AA94)/SQRT(2)</f>
        <v>1.4142135623730949</v>
      </c>
      <c r="AB99" s="12" cm="1">
        <f t="array" ref="AB99">MMULT(V99:W99,AB93:AB94)/SQRT(2)</f>
        <v>2.8284271247461898</v>
      </c>
      <c r="AC99" s="12" cm="1">
        <f t="array" ref="AC99">MMULT(V99:W99,AB93:AB94)/SQRT(2)</f>
        <v>2.8284271247461898</v>
      </c>
      <c r="AE99" s="12">
        <v>2.0026268779459782E-4</v>
      </c>
      <c r="AF99" s="12">
        <v>3.5507605960480814E-4</v>
      </c>
      <c r="AG99" s="12">
        <v>4.4892983628419703E-2</v>
      </c>
      <c r="AH99" s="12">
        <v>5.0154302659196656E-5</v>
      </c>
    </row>
    <row r="100" spans="1:34" ht="24" customHeight="1" x14ac:dyDescent="0.25">
      <c r="G100" s="41">
        <v>0</v>
      </c>
      <c r="H100" s="41">
        <v>1</v>
      </c>
      <c r="I100" s="2">
        <v>1</v>
      </c>
      <c r="J100" s="1"/>
      <c r="K100" s="44" cm="1">
        <f t="array" ref="K100:N101">MMULT(G100:I101,K93:N95)</f>
        <v>3</v>
      </c>
      <c r="L100" s="44">
        <v>1</v>
      </c>
      <c r="M100" s="44">
        <v>2</v>
      </c>
      <c r="N100" s="44">
        <v>4</v>
      </c>
      <c r="O100" s="1"/>
      <c r="U100" s="46" t="s">
        <v>62</v>
      </c>
      <c r="V100" s="42">
        <v>4</v>
      </c>
      <c r="W100" s="43">
        <v>3</v>
      </c>
      <c r="Z100" s="11" cm="1">
        <f t="array" ref="Z100">MMULT(V100:W100,Z93:Z94)/SQRT(2)</f>
        <v>12.727922061357855</v>
      </c>
      <c r="AA100" s="13" cm="1">
        <f t="array" ref="AA100">MMULT(V100:W100,AA93:AA94)/SQRT(2)</f>
        <v>9.1923881554251174</v>
      </c>
      <c r="AB100" s="13" cm="1">
        <f t="array" ref="AB100">MMULT(V100:W100,AB93:AB94)/SQRT(2)</f>
        <v>5.6568542494923797</v>
      </c>
      <c r="AC100" s="13" cm="1">
        <f t="array" ref="AC100">MMULT(V100:W100,AB93:AB94)/SQRT(2)</f>
        <v>5.6568542494923797</v>
      </c>
      <c r="AE100" s="13">
        <v>0.96986417795936597</v>
      </c>
      <c r="AF100" s="13">
        <v>0.84789035832487303</v>
      </c>
      <c r="AG100" s="13">
        <v>0.75953669887853725</v>
      </c>
      <c r="AH100" s="13">
        <v>8.4855205418348867E-4</v>
      </c>
    </row>
    <row r="101" spans="1:34" ht="24" customHeight="1" x14ac:dyDescent="0.25">
      <c r="G101" s="41">
        <v>1</v>
      </c>
      <c r="H101" s="41">
        <v>0</v>
      </c>
      <c r="I101" s="2">
        <v>1</v>
      </c>
      <c r="J101" s="1"/>
      <c r="K101" s="45">
        <v>2</v>
      </c>
      <c r="L101" s="45">
        <v>3</v>
      </c>
      <c r="M101" s="45">
        <v>0</v>
      </c>
      <c r="N101" s="45">
        <v>3</v>
      </c>
      <c r="O101" s="1"/>
    </row>
    <row r="102" spans="1:34" ht="24" customHeight="1" x14ac:dyDescent="0.25">
      <c r="I102" s="1"/>
      <c r="J102" s="1" t="s">
        <v>64</v>
      </c>
      <c r="K102" s="1" t="s">
        <v>65</v>
      </c>
      <c r="L102" s="1" t="s">
        <v>66</v>
      </c>
      <c r="M102" s="1" t="s">
        <v>67</v>
      </c>
      <c r="N102" s="1" t="s">
        <v>68</v>
      </c>
      <c r="O102" s="1"/>
      <c r="U102" t="s">
        <v>64</v>
      </c>
      <c r="V102" s="1" t="s">
        <v>65</v>
      </c>
      <c r="W102" s="1" t="s">
        <v>66</v>
      </c>
      <c r="X102" s="1" t="s">
        <v>67</v>
      </c>
      <c r="Y102" s="1" t="s">
        <v>68</v>
      </c>
      <c r="AE102" t="s">
        <v>69</v>
      </c>
    </row>
    <row r="103" spans="1:34" ht="24" customHeight="1" x14ac:dyDescent="0.25">
      <c r="G103" s="41">
        <v>0</v>
      </c>
      <c r="H103" s="41">
        <v>1</v>
      </c>
      <c r="I103" s="2">
        <v>-1</v>
      </c>
      <c r="J103" s="1"/>
      <c r="K103" s="11" cm="1">
        <f t="array" ref="K103:N105">MMULT(G103:I105,K93:N95)</f>
        <v>1</v>
      </c>
      <c r="L103" s="11">
        <v>-1</v>
      </c>
      <c r="M103" s="11">
        <v>4</v>
      </c>
      <c r="N103" s="11">
        <v>-2</v>
      </c>
      <c r="O103" s="1"/>
      <c r="V103" s="11">
        <v>1</v>
      </c>
      <c r="W103" s="11">
        <v>-1</v>
      </c>
      <c r="X103" s="11">
        <v>4</v>
      </c>
      <c r="Y103" s="11">
        <v>-2</v>
      </c>
      <c r="AE103" s="33" cm="1">
        <f t="array" ref="AE103:AH105">MMULT(V103:Y105,AE97:AH100)</f>
        <v>-1.9123329864605005</v>
      </c>
      <c r="AF103" s="33">
        <v>-1.7458845927638964</v>
      </c>
      <c r="AG103" s="33">
        <v>-1.1657596169078528</v>
      </c>
      <c r="AH103" s="33">
        <v>0.99758042004486636</v>
      </c>
    </row>
    <row r="104" spans="1:34" ht="24" customHeight="1" x14ac:dyDescent="0.25">
      <c r="G104" s="41">
        <v>1</v>
      </c>
      <c r="H104" s="41">
        <v>-1</v>
      </c>
      <c r="I104" s="2">
        <v>0</v>
      </c>
      <c r="J104" s="1"/>
      <c r="K104" s="12">
        <v>-1</v>
      </c>
      <c r="L104" s="12">
        <v>2</v>
      </c>
      <c r="M104" s="12">
        <v>-2</v>
      </c>
      <c r="N104" s="12">
        <v>-1</v>
      </c>
      <c r="O104" s="1"/>
      <c r="V104" s="12">
        <v>-1</v>
      </c>
      <c r="W104" s="12">
        <v>2</v>
      </c>
      <c r="X104" s="12">
        <v>-2</v>
      </c>
      <c r="Y104" s="12">
        <v>-1</v>
      </c>
      <c r="AE104" s="34">
        <v>-0.99518840171911505</v>
      </c>
      <c r="AF104" s="34">
        <v>-0.695436957107467</v>
      </c>
      <c r="AG104" s="34">
        <v>-1.0121502768921697</v>
      </c>
      <c r="AH104" s="34">
        <v>-1.0000135742518181</v>
      </c>
    </row>
    <row r="105" spans="1:34" ht="24" customHeight="1" x14ac:dyDescent="0.25">
      <c r="G105" s="41">
        <v>1</v>
      </c>
      <c r="H105" s="41">
        <v>0</v>
      </c>
      <c r="I105" s="2">
        <v>-1</v>
      </c>
      <c r="J105" s="1"/>
      <c r="K105" s="13">
        <v>0</v>
      </c>
      <c r="L105" s="13">
        <v>1</v>
      </c>
      <c r="M105" s="13">
        <v>2</v>
      </c>
      <c r="N105" s="13">
        <v>-3</v>
      </c>
      <c r="O105" s="1"/>
      <c r="V105" s="13">
        <v>0</v>
      </c>
      <c r="W105" s="13">
        <v>1</v>
      </c>
      <c r="X105" s="13">
        <v>2</v>
      </c>
      <c r="Y105" s="13">
        <v>-3</v>
      </c>
      <c r="AE105" s="35">
        <v>-2.9075213881796156</v>
      </c>
      <c r="AF105" s="35">
        <v>-2.4413215498713638</v>
      </c>
      <c r="AG105" s="35">
        <v>-2.1779098938000225</v>
      </c>
      <c r="AH105" s="35">
        <v>-2.4331542069517438E-3</v>
      </c>
    </row>
    <row r="106" spans="1:34" ht="24" customHeight="1" x14ac:dyDescent="0.25">
      <c r="I106" s="1"/>
      <c r="J106" s="1"/>
      <c r="L106" s="1"/>
      <c r="M106" s="1"/>
      <c r="N106" s="1"/>
      <c r="Q106" s="1"/>
      <c r="AE106" s="1" t="s">
        <v>70</v>
      </c>
      <c r="AF106" s="1" t="s">
        <v>71</v>
      </c>
      <c r="AG106" s="1" t="s">
        <v>72</v>
      </c>
      <c r="AH106" s="1" t="s">
        <v>73</v>
      </c>
    </row>
    <row r="108" spans="1:34" ht="24" customHeight="1" x14ac:dyDescent="0.25">
      <c r="I108" s="1"/>
      <c r="J108" s="1"/>
      <c r="L108" s="1"/>
      <c r="M108" s="1"/>
      <c r="N108" s="1"/>
      <c r="Q108" s="1"/>
      <c r="R108" s="1"/>
      <c r="S108" s="1"/>
      <c r="AA108" s="1"/>
      <c r="AB108" s="1"/>
      <c r="AC108" s="1"/>
      <c r="AD108" s="1"/>
    </row>
    <row r="109" spans="1:34" s="40" customFormat="1" ht="24" customHeight="1" x14ac:dyDescent="0.25">
      <c r="A109" s="40" t="s">
        <v>80</v>
      </c>
      <c r="I109" s="14"/>
      <c r="J109" s="14"/>
      <c r="L109" s="14"/>
      <c r="M109" s="14"/>
      <c r="N109" s="14"/>
      <c r="Q109" s="14"/>
      <c r="R109" s="14"/>
      <c r="S109" s="14"/>
      <c r="AA109" s="14"/>
      <c r="AB109" s="14"/>
      <c r="AC109" s="14"/>
      <c r="AD109" s="14"/>
    </row>
    <row r="110" spans="1:34" ht="24" customHeight="1" x14ac:dyDescent="0.25">
      <c r="I110" s="1"/>
      <c r="J110" s="1"/>
      <c r="L110" s="1"/>
      <c r="M110" s="1"/>
      <c r="N110" s="1"/>
    </row>
    <row r="111" spans="1:34" ht="24" customHeight="1" x14ac:dyDescent="0.25">
      <c r="I111" s="1"/>
      <c r="J111" s="1"/>
      <c r="L111" s="1"/>
      <c r="M111" s="1"/>
      <c r="N111" s="1"/>
    </row>
    <row r="112" spans="1:34" ht="24" customHeight="1" x14ac:dyDescent="0.25">
      <c r="I112" s="1"/>
      <c r="K112" t="s">
        <v>48</v>
      </c>
      <c r="N112" s="1"/>
      <c r="O112" s="1"/>
    </row>
    <row r="113" spans="7:34" ht="24" customHeight="1" x14ac:dyDescent="0.25">
      <c r="I113" s="1"/>
      <c r="N113" s="1"/>
      <c r="O113" s="1"/>
    </row>
    <row r="114" spans="7:34" ht="24" customHeight="1" x14ac:dyDescent="0.25">
      <c r="I114" s="1"/>
      <c r="K114" s="1" t="s">
        <v>37</v>
      </c>
      <c r="L114" s="1" t="s">
        <v>38</v>
      </c>
      <c r="M114" s="1" t="s">
        <v>39</v>
      </c>
      <c r="N114" s="1" t="s">
        <v>40</v>
      </c>
      <c r="O114" s="1"/>
      <c r="S114" s="1"/>
      <c r="T114" s="1"/>
      <c r="Y114" t="s">
        <v>49</v>
      </c>
      <c r="Z114" s="1" t="s">
        <v>50</v>
      </c>
      <c r="AA114" s="1" t="s">
        <v>51</v>
      </c>
      <c r="AB114" s="1" t="s">
        <v>52</v>
      </c>
      <c r="AC114" s="1" t="s">
        <v>53</v>
      </c>
    </row>
    <row r="115" spans="7:34" ht="24" customHeight="1" x14ac:dyDescent="0.25">
      <c r="I115" s="1"/>
      <c r="K115" s="8">
        <v>1</v>
      </c>
      <c r="L115" s="8">
        <v>2</v>
      </c>
      <c r="M115" s="8">
        <v>1</v>
      </c>
      <c r="N115" s="8">
        <v>0</v>
      </c>
      <c r="O115" s="1"/>
      <c r="S115" s="1"/>
      <c r="T115" s="1"/>
      <c r="Z115" s="44" cm="1">
        <f t="array" ref="Z115:AC116">MMULT(G120:I121,K115:N117)</f>
        <v>3</v>
      </c>
      <c r="AA115" s="44">
        <v>1</v>
      </c>
      <c r="AB115" s="44">
        <v>2</v>
      </c>
      <c r="AC115" s="44">
        <v>3</v>
      </c>
    </row>
    <row r="116" spans="7:34" ht="24" customHeight="1" x14ac:dyDescent="0.25">
      <c r="I116" s="1"/>
      <c r="J116" s="1"/>
      <c r="K116" s="9">
        <v>2</v>
      </c>
      <c r="L116" s="9">
        <v>0</v>
      </c>
      <c r="M116" s="9">
        <v>3</v>
      </c>
      <c r="N116" s="9">
        <v>1</v>
      </c>
      <c r="O116" s="1"/>
      <c r="S116" s="1"/>
      <c r="T116" s="1"/>
      <c r="Z116" s="45">
        <v>2</v>
      </c>
      <c r="AA116" s="45">
        <v>3</v>
      </c>
      <c r="AB116" s="45">
        <v>0</v>
      </c>
      <c r="AC116" s="45">
        <v>2</v>
      </c>
    </row>
    <row r="117" spans="7:34" ht="24" customHeight="1" x14ac:dyDescent="0.25">
      <c r="I117" s="1"/>
      <c r="J117" s="1"/>
      <c r="K117" s="10">
        <v>1</v>
      </c>
      <c r="L117" s="10">
        <v>1</v>
      </c>
      <c r="M117" s="10">
        <v>-1</v>
      </c>
      <c r="N117" s="10">
        <v>2</v>
      </c>
      <c r="O117" s="1"/>
      <c r="S117" s="1"/>
      <c r="T117" s="1"/>
      <c r="AA117" s="1"/>
      <c r="AB117" s="1"/>
      <c r="AC117" s="1"/>
    </row>
    <row r="118" spans="7:34" ht="24" customHeight="1" x14ac:dyDescent="0.25">
      <c r="O118" s="1"/>
      <c r="U118" t="s">
        <v>60</v>
      </c>
      <c r="AE118" t="s">
        <v>46</v>
      </c>
    </row>
    <row r="119" spans="7:34" ht="24" customHeight="1" x14ac:dyDescent="0.25">
      <c r="I119" s="1"/>
      <c r="J119" s="1" t="s">
        <v>49</v>
      </c>
      <c r="K119" s="1" t="s">
        <v>50</v>
      </c>
      <c r="L119" s="1" t="s">
        <v>51</v>
      </c>
      <c r="M119" s="1" t="s">
        <v>52</v>
      </c>
      <c r="N119" s="1" t="s">
        <v>53</v>
      </c>
      <c r="O119" s="1"/>
      <c r="U119" s="46" t="s">
        <v>57</v>
      </c>
      <c r="V119" s="42" cm="1">
        <f t="array" ref="V119:W124">TRANSPOSE(_xlfn.ANCHORARRAY(K128))</f>
        <v>2</v>
      </c>
      <c r="W119" s="43">
        <v>1</v>
      </c>
      <c r="Z119" s="11" cm="1">
        <f t="array" ref="Z119:AC124">MMULT(_xlfn.ANCHORARRAY(V119),_xlfn.ANCHORARRAY(Z115))</f>
        <v>8</v>
      </c>
      <c r="AA119" s="11">
        <v>5</v>
      </c>
      <c r="AB119" s="11">
        <v>4</v>
      </c>
      <c r="AC119" s="11">
        <v>8</v>
      </c>
      <c r="AE119" s="11" cm="1">
        <f t="array" ref="AE119:AE124">EXP(Z119:Z124)/SUM(EXP(Z119:Z124))</f>
        <v>0.21152761048652224</v>
      </c>
      <c r="AF119" s="11" cm="1">
        <f t="array" ref="AF119:AF124">EXP(AA119:AA124)/SUM(EXP(AA119:AA124))</f>
        <v>6.6414606067632543E-3</v>
      </c>
      <c r="AG119" s="11" cm="1">
        <f t="array" ref="AG119:AG124">EXP(AB119:AB124)/SUM(EXP(AB119:AB124))</f>
        <v>0.43640204782976416</v>
      </c>
      <c r="AH119" s="11" cm="1">
        <f t="array" ref="AH119:AH124">EXP(AC119:AC124)/SUM(EXP(AC119:AC124))</f>
        <v>0.21152761048652224</v>
      </c>
    </row>
    <row r="120" spans="7:34" ht="24" customHeight="1" x14ac:dyDescent="0.25">
      <c r="G120" s="41">
        <v>0</v>
      </c>
      <c r="H120" s="41">
        <v>1</v>
      </c>
      <c r="I120" s="2">
        <v>1</v>
      </c>
      <c r="J120" s="1"/>
      <c r="K120" s="44" cm="1">
        <f t="array" ref="K120:N121">MMULT(G120:I121,K115:N117)</f>
        <v>3</v>
      </c>
      <c r="L120" s="44">
        <v>1</v>
      </c>
      <c r="M120" s="44">
        <v>2</v>
      </c>
      <c r="N120" s="44">
        <v>3</v>
      </c>
      <c r="O120" s="1"/>
      <c r="U120" s="46" t="s">
        <v>58</v>
      </c>
      <c r="V120" s="42">
        <v>2</v>
      </c>
      <c r="W120" s="43">
        <v>1</v>
      </c>
      <c r="Z120" s="12">
        <v>8</v>
      </c>
      <c r="AA120" s="12">
        <v>5</v>
      </c>
      <c r="AB120" s="12">
        <v>4</v>
      </c>
      <c r="AC120" s="12">
        <v>8</v>
      </c>
      <c r="AE120" s="12">
        <v>0.21152761048652224</v>
      </c>
      <c r="AF120" s="12">
        <v>6.6414606067632543E-3</v>
      </c>
      <c r="AG120" s="12">
        <v>0.43640204782976416</v>
      </c>
      <c r="AH120" s="12">
        <v>0.21152761048652224</v>
      </c>
    </row>
    <row r="121" spans="7:34" ht="24" customHeight="1" x14ac:dyDescent="0.25">
      <c r="G121" s="41">
        <v>1</v>
      </c>
      <c r="H121" s="41">
        <v>0</v>
      </c>
      <c r="I121" s="2">
        <v>1</v>
      </c>
      <c r="J121" s="1"/>
      <c r="K121" s="45">
        <v>2</v>
      </c>
      <c r="L121" s="45">
        <v>3</v>
      </c>
      <c r="M121" s="45">
        <v>0</v>
      </c>
      <c r="N121" s="45">
        <v>2</v>
      </c>
      <c r="O121" s="1"/>
      <c r="U121" s="46" t="s">
        <v>61</v>
      </c>
      <c r="V121" s="42">
        <v>0</v>
      </c>
      <c r="W121" s="43">
        <v>1</v>
      </c>
      <c r="Z121" s="12">
        <v>2</v>
      </c>
      <c r="AA121" s="12">
        <v>3</v>
      </c>
      <c r="AB121" s="12">
        <v>0</v>
      </c>
      <c r="AC121" s="12">
        <v>2</v>
      </c>
      <c r="AE121" s="12">
        <v>5.2432452491850065E-4</v>
      </c>
      <c r="AF121" s="12">
        <v>8.9882395232111062E-4</v>
      </c>
      <c r="AG121" s="12">
        <v>7.9929823183540628E-3</v>
      </c>
      <c r="AH121" s="12">
        <v>5.2432452491850065E-4</v>
      </c>
    </row>
    <row r="122" spans="7:34" ht="24" customHeight="1" x14ac:dyDescent="0.25">
      <c r="K122" t="s">
        <v>81</v>
      </c>
      <c r="O122" s="1"/>
      <c r="U122" s="46" t="s">
        <v>62</v>
      </c>
      <c r="V122" s="42">
        <v>1</v>
      </c>
      <c r="W122" s="43">
        <v>0</v>
      </c>
      <c r="Z122" s="12">
        <v>3</v>
      </c>
      <c r="AA122" s="12">
        <v>1</v>
      </c>
      <c r="AB122" s="12">
        <v>2</v>
      </c>
      <c r="AC122" s="12">
        <v>3</v>
      </c>
      <c r="AE122" s="12">
        <v>1.4252618283013821E-3</v>
      </c>
      <c r="AF122" s="12">
        <v>1.2164259416722917E-4</v>
      </c>
      <c r="AG122" s="12">
        <v>5.906059474807894E-2</v>
      </c>
      <c r="AH122" s="12">
        <v>1.4252618283013821E-3</v>
      </c>
    </row>
    <row r="123" spans="7:34" ht="24" customHeight="1" x14ac:dyDescent="0.25">
      <c r="J123" s="1"/>
      <c r="K123" s="1" t="s">
        <v>91</v>
      </c>
      <c r="L123" s="1" t="s">
        <v>92</v>
      </c>
      <c r="M123" s="1" t="s">
        <v>93</v>
      </c>
      <c r="N123" s="1" t="s">
        <v>94</v>
      </c>
      <c r="O123" t="s">
        <v>95</v>
      </c>
      <c r="P123" s="1" t="s">
        <v>96</v>
      </c>
      <c r="U123" s="46" t="s">
        <v>97</v>
      </c>
      <c r="V123" s="42">
        <v>-1</v>
      </c>
      <c r="W123" s="43">
        <v>0</v>
      </c>
      <c r="Z123" s="12">
        <v>-3</v>
      </c>
      <c r="AA123" s="12">
        <v>-1</v>
      </c>
      <c r="AB123" s="12">
        <v>-2</v>
      </c>
      <c r="AC123" s="12">
        <v>-3</v>
      </c>
      <c r="AE123" s="12">
        <v>3.5328708592215245E-6</v>
      </c>
      <c r="AF123" s="12">
        <v>1.6462534935258293E-5</v>
      </c>
      <c r="AG123" s="12">
        <v>1.0817325259596844E-3</v>
      </c>
      <c r="AH123" s="12">
        <v>3.5328708592215245E-6</v>
      </c>
    </row>
    <row r="124" spans="7:34" ht="24" customHeight="1" x14ac:dyDescent="0.25">
      <c r="J124" s="1"/>
      <c r="K124" s="15">
        <v>2</v>
      </c>
      <c r="L124" s="15">
        <v>0</v>
      </c>
      <c r="M124" s="15">
        <v>1</v>
      </c>
      <c r="N124" s="15">
        <v>0</v>
      </c>
      <c r="O124" s="15">
        <v>1</v>
      </c>
      <c r="P124" s="15">
        <v>2</v>
      </c>
      <c r="U124" s="46" t="s">
        <v>98</v>
      </c>
      <c r="V124" s="42">
        <v>1</v>
      </c>
      <c r="W124" s="43">
        <v>3</v>
      </c>
      <c r="Z124" s="13">
        <v>9</v>
      </c>
      <c r="AA124" s="13">
        <v>10</v>
      </c>
      <c r="AB124" s="13">
        <v>2</v>
      </c>
      <c r="AC124" s="13">
        <v>9</v>
      </c>
      <c r="AE124" s="13">
        <v>0.57499165980287636</v>
      </c>
      <c r="AF124" s="13">
        <v>0.98568014970504991</v>
      </c>
      <c r="AG124" s="13">
        <v>5.906059474807894E-2</v>
      </c>
      <c r="AH124" s="13">
        <v>0.57499165980287636</v>
      </c>
    </row>
    <row r="125" spans="7:34" ht="24" customHeight="1" x14ac:dyDescent="0.25">
      <c r="K125" s="25">
        <v>3</v>
      </c>
      <c r="L125" s="25">
        <v>1</v>
      </c>
      <c r="M125" s="25">
        <v>0</v>
      </c>
      <c r="N125" s="25">
        <v>1</v>
      </c>
      <c r="O125" s="25">
        <v>0</v>
      </c>
      <c r="P125" s="25">
        <v>0</v>
      </c>
    </row>
    <row r="126" spans="7:34" ht="24" customHeight="1" x14ac:dyDescent="0.25">
      <c r="K126" s="16">
        <v>-1</v>
      </c>
      <c r="L126" s="16">
        <v>1</v>
      </c>
      <c r="M126" s="16">
        <v>0</v>
      </c>
      <c r="N126" s="16">
        <v>0</v>
      </c>
      <c r="O126" s="16">
        <v>-1</v>
      </c>
      <c r="P126" s="16">
        <v>1</v>
      </c>
      <c r="U126" t="s">
        <v>64</v>
      </c>
      <c r="V126" s="1" t="s">
        <v>65</v>
      </c>
      <c r="W126" s="1" t="s">
        <v>66</v>
      </c>
      <c r="X126" s="1" t="s">
        <v>67</v>
      </c>
      <c r="Y126" s="1" t="s">
        <v>68</v>
      </c>
      <c r="Z126" s="1" t="s">
        <v>99</v>
      </c>
      <c r="AA126" s="1" t="s">
        <v>100</v>
      </c>
      <c r="AE126" t="s">
        <v>69</v>
      </c>
    </row>
    <row r="127" spans="7:34" ht="24" customHeight="1" x14ac:dyDescent="0.25">
      <c r="J127" s="1" t="s">
        <v>60</v>
      </c>
      <c r="K127" s="46" t="s">
        <v>57</v>
      </c>
      <c r="L127" s="46" t="s">
        <v>58</v>
      </c>
      <c r="M127" s="46" t="s">
        <v>61</v>
      </c>
      <c r="N127" s="46" t="s">
        <v>62</v>
      </c>
      <c r="O127" s="46" t="s">
        <v>97</v>
      </c>
      <c r="P127" s="46" t="s">
        <v>98</v>
      </c>
      <c r="V127" s="11" cm="1">
        <f t="array" ref="V127:AA129">MMULT(G131:I133,K124:P126)</f>
        <v>4</v>
      </c>
      <c r="W127" s="11">
        <v>0</v>
      </c>
      <c r="X127" s="11">
        <v>0</v>
      </c>
      <c r="Y127" s="11">
        <v>1</v>
      </c>
      <c r="Z127" s="11">
        <v>1</v>
      </c>
      <c r="AA127" s="11">
        <v>-1</v>
      </c>
      <c r="AE127" s="33" cm="1">
        <f t="array" ref="AE127:AH129">MMULT(_xlfn.ANCHORARRAY(V127),AE119:AH124)</f>
        <v>0.27254757684237318</v>
      </c>
      <c r="AF127" s="33">
        <v>-0.95897620214889445</v>
      </c>
      <c r="AG127" s="33">
        <v>1.7466899238450164</v>
      </c>
      <c r="AH127" s="33">
        <v>0.27254757684237318</v>
      </c>
    </row>
    <row r="128" spans="7:34" ht="24" customHeight="1" x14ac:dyDescent="0.25">
      <c r="G128" s="41">
        <v>0</v>
      </c>
      <c r="H128" s="41">
        <v>1</v>
      </c>
      <c r="I128" s="2">
        <v>1</v>
      </c>
      <c r="J128" s="1"/>
      <c r="K128" s="44" cm="1">
        <f t="array" ref="K128:P129">MMULT(G128:I129,K124:P126)</f>
        <v>2</v>
      </c>
      <c r="L128" s="44">
        <v>2</v>
      </c>
      <c r="M128" s="44">
        <v>0</v>
      </c>
      <c r="N128" s="44">
        <v>1</v>
      </c>
      <c r="O128" s="44">
        <v>-1</v>
      </c>
      <c r="P128" s="44">
        <v>1</v>
      </c>
      <c r="V128" s="12">
        <v>-1</v>
      </c>
      <c r="W128" s="12">
        <v>-1</v>
      </c>
      <c r="X128" s="12">
        <v>1</v>
      </c>
      <c r="Y128" s="12">
        <v>-1</v>
      </c>
      <c r="Z128" s="12">
        <v>1</v>
      </c>
      <c r="AA128" s="12">
        <v>2</v>
      </c>
      <c r="AE128" s="34">
        <v>0.72603069420018462</v>
      </c>
      <c r="AF128" s="34">
        <v>1.9588710220896624</v>
      </c>
      <c r="AG128" s="34">
        <v>-0.80466878606713554</v>
      </c>
      <c r="AH128" s="34">
        <v>0.72603069420018462</v>
      </c>
    </row>
    <row r="129" spans="1:34" ht="24" customHeight="1" x14ac:dyDescent="0.25">
      <c r="G129" s="41">
        <v>1</v>
      </c>
      <c r="H129" s="41">
        <v>0</v>
      </c>
      <c r="I129" s="2">
        <v>1</v>
      </c>
      <c r="J129" s="1"/>
      <c r="K129" s="45">
        <v>1</v>
      </c>
      <c r="L129" s="45">
        <v>1</v>
      </c>
      <c r="M129" s="45">
        <v>1</v>
      </c>
      <c r="N129" s="45">
        <v>0</v>
      </c>
      <c r="O129" s="45">
        <v>0</v>
      </c>
      <c r="P129" s="45">
        <v>3</v>
      </c>
      <c r="V129" s="13">
        <v>3</v>
      </c>
      <c r="W129" s="13">
        <v>-1</v>
      </c>
      <c r="X129" s="13">
        <v>1</v>
      </c>
      <c r="Y129" s="13">
        <v>0</v>
      </c>
      <c r="Z129" s="13">
        <v>2</v>
      </c>
      <c r="AA129" s="13">
        <v>1</v>
      </c>
      <c r="AE129" s="35">
        <v>0.99857827104255781</v>
      </c>
      <c r="AF129" s="35">
        <v>0.99989481994076801</v>
      </c>
      <c r="AG129" s="35">
        <v>0.94202113777788077</v>
      </c>
      <c r="AH129" s="35">
        <v>0.99857827104255781</v>
      </c>
    </row>
    <row r="130" spans="1:34" ht="24" customHeight="1" x14ac:dyDescent="0.25">
      <c r="I130" s="1"/>
      <c r="J130" s="1" t="s">
        <v>64</v>
      </c>
      <c r="K130" s="46" t="s">
        <v>65</v>
      </c>
      <c r="L130" s="46" t="s">
        <v>66</v>
      </c>
      <c r="M130" s="46" t="s">
        <v>67</v>
      </c>
      <c r="N130" s="46" t="s">
        <v>68</v>
      </c>
      <c r="O130" s="46" t="s">
        <v>99</v>
      </c>
      <c r="P130" s="46" t="s">
        <v>100</v>
      </c>
      <c r="AE130" s="1" t="s">
        <v>70</v>
      </c>
      <c r="AF130" s="1" t="s">
        <v>71</v>
      </c>
      <c r="AG130" s="1" t="s">
        <v>72</v>
      </c>
      <c r="AH130" s="1" t="s">
        <v>73</v>
      </c>
    </row>
    <row r="131" spans="1:34" ht="24" customHeight="1" x14ac:dyDescent="0.25">
      <c r="G131" s="41">
        <v>0</v>
      </c>
      <c r="H131" s="41">
        <v>1</v>
      </c>
      <c r="I131" s="2">
        <v>-1</v>
      </c>
      <c r="J131" s="1"/>
      <c r="K131" s="11" cm="1">
        <f t="array" ref="K131:P133">MMULT(G131:I133,K124:P126)</f>
        <v>4</v>
      </c>
      <c r="L131" s="11">
        <v>0</v>
      </c>
      <c r="M131" s="11">
        <v>0</v>
      </c>
      <c r="N131" s="11">
        <v>1</v>
      </c>
      <c r="O131" s="11">
        <v>1</v>
      </c>
      <c r="P131" s="11">
        <v>-1</v>
      </c>
    </row>
    <row r="132" spans="1:34" ht="24" customHeight="1" x14ac:dyDescent="0.25">
      <c r="G132" s="41">
        <v>1</v>
      </c>
      <c r="H132" s="41">
        <v>-1</v>
      </c>
      <c r="I132" s="2">
        <v>0</v>
      </c>
      <c r="J132" s="1"/>
      <c r="K132" s="12">
        <v>-1</v>
      </c>
      <c r="L132" s="12">
        <v>-1</v>
      </c>
      <c r="M132" s="12">
        <v>1</v>
      </c>
      <c r="N132" s="12">
        <v>-1</v>
      </c>
      <c r="O132" s="12">
        <v>1</v>
      </c>
      <c r="P132" s="12">
        <v>2</v>
      </c>
    </row>
    <row r="133" spans="1:34" ht="24" customHeight="1" x14ac:dyDescent="0.25">
      <c r="G133" s="41">
        <v>1</v>
      </c>
      <c r="H133" s="41">
        <v>0</v>
      </c>
      <c r="I133" s="2">
        <v>-1</v>
      </c>
      <c r="J133" s="1"/>
      <c r="K133" s="13">
        <v>3</v>
      </c>
      <c r="L133" s="13">
        <v>-1</v>
      </c>
      <c r="M133" s="13">
        <v>1</v>
      </c>
      <c r="N133" s="13">
        <v>0</v>
      </c>
      <c r="O133" s="13">
        <v>2</v>
      </c>
      <c r="P133" s="13">
        <v>1</v>
      </c>
    </row>
    <row r="134" spans="1:34" ht="24" customHeight="1" x14ac:dyDescent="0.25">
      <c r="O134" s="1"/>
    </row>
    <row r="135" spans="1:34" s="5" customFormat="1" ht="24" customHeight="1" x14ac:dyDescent="0.35">
      <c r="A135" s="4" t="s">
        <v>101</v>
      </c>
    </row>
    <row r="137" spans="1:34" s="40" customFormat="1" ht="24" customHeight="1" x14ac:dyDescent="0.25">
      <c r="A137" s="40" t="s">
        <v>75</v>
      </c>
      <c r="I137" s="14"/>
      <c r="J137" s="14"/>
      <c r="L137" s="14"/>
      <c r="M137" s="14"/>
      <c r="N137" s="14"/>
      <c r="Q137" s="14"/>
      <c r="R137" s="14"/>
      <c r="S137" s="14"/>
      <c r="AA137" s="14"/>
      <c r="AB137" s="14"/>
      <c r="AC137" s="14"/>
      <c r="AD137" s="14"/>
    </row>
    <row r="138" spans="1:34" ht="24" customHeight="1" x14ac:dyDescent="0.25">
      <c r="I138" s="1"/>
      <c r="J138" s="1"/>
      <c r="L138" s="1"/>
      <c r="M138" s="1"/>
      <c r="N138" s="1"/>
      <c r="Q138" s="1"/>
      <c r="R138" s="1"/>
      <c r="S138" s="1"/>
      <c r="AA138" s="1"/>
      <c r="AB138" s="1"/>
      <c r="AC138" s="1"/>
      <c r="AD138" s="1"/>
    </row>
    <row r="139" spans="1:34" ht="24" customHeight="1" x14ac:dyDescent="0.25">
      <c r="N139" s="1"/>
      <c r="S139" s="1"/>
      <c r="T139" s="1"/>
    </row>
    <row r="140" spans="1:34" ht="24" customHeight="1" x14ac:dyDescent="0.25">
      <c r="N140" s="1"/>
      <c r="P140" t="s">
        <v>48</v>
      </c>
      <c r="S140" s="1"/>
      <c r="T140" s="1"/>
    </row>
    <row r="141" spans="1:34" ht="24" customHeight="1" x14ac:dyDescent="0.25">
      <c r="N141" s="1"/>
      <c r="S141" s="1"/>
      <c r="T141" s="1"/>
    </row>
    <row r="142" spans="1:34" ht="24" customHeight="1" x14ac:dyDescent="0.25">
      <c r="N142" s="1"/>
      <c r="P142" s="1" t="s">
        <v>37</v>
      </c>
      <c r="Q142" s="1" t="s">
        <v>38</v>
      </c>
      <c r="R142" s="1" t="s">
        <v>39</v>
      </c>
      <c r="S142" s="1" t="s">
        <v>40</v>
      </c>
      <c r="T142" s="1"/>
      <c r="AD142" t="s">
        <v>49</v>
      </c>
      <c r="AE142" s="1" t="s">
        <v>50</v>
      </c>
      <c r="AF142" s="1" t="s">
        <v>51</v>
      </c>
      <c r="AG142" s="1" t="s">
        <v>52</v>
      </c>
      <c r="AH142" s="1" t="s">
        <v>53</v>
      </c>
    </row>
    <row r="143" spans="1:34" ht="24" customHeight="1" x14ac:dyDescent="0.25">
      <c r="N143" s="1"/>
      <c r="P143" s="8">
        <v>1</v>
      </c>
      <c r="Q143" s="8">
        <v>2</v>
      </c>
      <c r="R143" s="8">
        <v>1</v>
      </c>
      <c r="S143" s="8">
        <v>0</v>
      </c>
      <c r="T143" s="1"/>
      <c r="X143" s="1"/>
      <c r="Y143" s="1"/>
      <c r="AE143" s="44" cm="1">
        <f t="array" ref="AE143:AH144">MMULT(L147:N148,P143:S145)</f>
        <v>3</v>
      </c>
      <c r="AF143" s="44">
        <v>1</v>
      </c>
      <c r="AG143" s="44">
        <v>2</v>
      </c>
      <c r="AH143" s="44">
        <v>3</v>
      </c>
    </row>
    <row r="144" spans="1:34" ht="24" customHeight="1" x14ac:dyDescent="0.25">
      <c r="N144" s="1"/>
      <c r="O144" s="1"/>
      <c r="P144" s="9">
        <v>2</v>
      </c>
      <c r="Q144" s="9">
        <v>0</v>
      </c>
      <c r="R144" s="9">
        <v>3</v>
      </c>
      <c r="S144" s="9">
        <v>1</v>
      </c>
      <c r="T144" s="1"/>
      <c r="X144" s="1"/>
      <c r="Y144" s="1"/>
      <c r="AE144" s="45">
        <v>2</v>
      </c>
      <c r="AF144" s="45">
        <v>3</v>
      </c>
      <c r="AG144" s="45">
        <v>0</v>
      </c>
      <c r="AH144" s="45">
        <v>2</v>
      </c>
    </row>
    <row r="145" spans="1:39" ht="24" customHeight="1" x14ac:dyDescent="0.25">
      <c r="N145" s="1"/>
      <c r="O145" s="1"/>
      <c r="P145" s="10">
        <v>1</v>
      </c>
      <c r="Q145" s="10">
        <v>1</v>
      </c>
      <c r="R145" s="10">
        <v>-1</v>
      </c>
      <c r="S145" s="10">
        <v>2</v>
      </c>
      <c r="T145" s="1"/>
      <c r="X145" s="1"/>
      <c r="Y145" s="1"/>
      <c r="AF145" s="1"/>
      <c r="AG145" s="1"/>
      <c r="AH145" s="1"/>
    </row>
    <row r="146" spans="1:39" ht="24" customHeight="1" x14ac:dyDescent="0.25">
      <c r="N146" s="1"/>
      <c r="O146" s="1" t="s">
        <v>49</v>
      </c>
      <c r="P146" s="46" t="s">
        <v>50</v>
      </c>
      <c r="Q146" s="46" t="s">
        <v>51</v>
      </c>
      <c r="R146" s="46" t="s">
        <v>52</v>
      </c>
      <c r="S146" s="46" t="s">
        <v>53</v>
      </c>
      <c r="T146" s="1"/>
      <c r="X146" s="1"/>
      <c r="Y146" s="1"/>
      <c r="Z146" t="s">
        <v>60</v>
      </c>
      <c r="AJ146" t="s">
        <v>46</v>
      </c>
    </row>
    <row r="147" spans="1:39" ht="24" customHeight="1" x14ac:dyDescent="0.25">
      <c r="L147" s="41">
        <v>0</v>
      </c>
      <c r="M147" s="41">
        <v>1</v>
      </c>
      <c r="N147" s="2">
        <v>1</v>
      </c>
      <c r="O147" s="1"/>
      <c r="P147" s="44" cm="1">
        <f t="array" ref="P147:S148">MMULT(L147:N148,P143:S145)</f>
        <v>3</v>
      </c>
      <c r="Q147" s="44">
        <v>1</v>
      </c>
      <c r="R147" s="44">
        <v>2</v>
      </c>
      <c r="S147" s="44">
        <v>3</v>
      </c>
      <c r="T147" s="1"/>
      <c r="Z147" s="46" t="s">
        <v>57</v>
      </c>
      <c r="AA147" s="42" cm="1">
        <f t="array" ref="AA147:AB150">TRANSPOSE(_xlfn.ANCHORARRAY(P150))</f>
        <v>3</v>
      </c>
      <c r="AB147" s="43">
        <v>2</v>
      </c>
      <c r="AE147" s="11" cm="1">
        <f t="array" ref="AE147:AH150">MMULT(_xlfn.ANCHORARRAY(AA147),_xlfn.ANCHORARRAY(AE143))/SQRT(2)</f>
        <v>9.1923881554251174</v>
      </c>
      <c r="AF147" s="11">
        <v>6.3639610306789276</v>
      </c>
      <c r="AG147" s="11">
        <v>4.2426406871192848</v>
      </c>
      <c r="AH147" s="11">
        <v>9.1923881554251174</v>
      </c>
      <c r="AJ147" s="47" cm="1">
        <f t="array" ref="AJ147:AJ150">EXP(AE147:AE150)/SUM(EXP(AE147:AE150))</f>
        <v>0.4839823747465663</v>
      </c>
      <c r="AK147" s="47" cm="1">
        <f t="array" ref="AK147:AK150">EXP(AF147:AF150)/SUM(EXP(AF147:AF150))</f>
        <v>0.24781918008890086</v>
      </c>
      <c r="AL147" s="47" cm="1">
        <f t="array" ref="AL147:AL150">EXP(AG147:AG150)/SUM(EXP(AG147:AG150))</f>
        <v>0.43436288553975921</v>
      </c>
      <c r="AM147" s="47" cm="1">
        <f t="array" ref="AM147:AM150">EXP(AH147:AH150)/SUM(EXP(AH147:AH150))</f>
        <v>0.4839823747465663</v>
      </c>
    </row>
    <row r="148" spans="1:39" ht="24" customHeight="1" x14ac:dyDescent="0.25">
      <c r="L148" s="41">
        <v>1</v>
      </c>
      <c r="M148" s="41">
        <v>0</v>
      </c>
      <c r="N148" s="2">
        <v>1</v>
      </c>
      <c r="O148" s="1"/>
      <c r="P148" s="45">
        <v>2</v>
      </c>
      <c r="Q148" s="45">
        <v>3</v>
      </c>
      <c r="R148" s="45">
        <v>0</v>
      </c>
      <c r="S148" s="45">
        <v>2</v>
      </c>
      <c r="T148" s="1"/>
      <c r="Z148" s="46" t="s">
        <v>58</v>
      </c>
      <c r="AA148" s="42">
        <v>1</v>
      </c>
      <c r="AB148" s="43">
        <v>3</v>
      </c>
      <c r="AE148" s="12">
        <v>6.3639610306789276</v>
      </c>
      <c r="AF148" s="12">
        <v>7.0710678118654746</v>
      </c>
      <c r="AG148" s="12">
        <v>1.4142135623730949</v>
      </c>
      <c r="AH148" s="12">
        <v>6.3639610306789276</v>
      </c>
      <c r="AJ148" s="48">
        <v>2.8606139582224289E-2</v>
      </c>
      <c r="AK148" s="48">
        <v>0.50260579187789256</v>
      </c>
      <c r="AL148" s="48">
        <v>2.5673342628633019E-2</v>
      </c>
      <c r="AM148" s="48">
        <v>2.8606139582224289E-2</v>
      </c>
    </row>
    <row r="149" spans="1:39" ht="24" customHeight="1" x14ac:dyDescent="0.25">
      <c r="N149" s="1"/>
      <c r="O149" s="1" t="s">
        <v>60</v>
      </c>
      <c r="P149" s="46" t="s">
        <v>57</v>
      </c>
      <c r="Q149" s="46" t="s">
        <v>58</v>
      </c>
      <c r="R149" s="46" t="s">
        <v>61</v>
      </c>
      <c r="S149" s="46" t="s">
        <v>62</v>
      </c>
      <c r="T149" s="1"/>
      <c r="Z149" s="46" t="s">
        <v>61</v>
      </c>
      <c r="AA149" s="42">
        <v>2</v>
      </c>
      <c r="AB149" s="43">
        <v>0</v>
      </c>
      <c r="AE149" s="12">
        <v>4.2426406871192848</v>
      </c>
      <c r="AF149" s="12">
        <v>1.4142135623730949</v>
      </c>
      <c r="AG149" s="12">
        <v>2.8284271247461898</v>
      </c>
      <c r="AH149" s="12">
        <v>4.2426406871192848</v>
      </c>
      <c r="AJ149" s="48">
        <v>3.4291109246430977E-3</v>
      </c>
      <c r="AK149" s="48">
        <v>1.7558479443056908E-3</v>
      </c>
      <c r="AL149" s="48">
        <v>0.10560088629184865</v>
      </c>
      <c r="AM149" s="48">
        <v>3.4291109246430977E-3</v>
      </c>
    </row>
    <row r="150" spans="1:39" ht="24" customHeight="1" x14ac:dyDescent="0.25">
      <c r="L150" s="41">
        <v>0</v>
      </c>
      <c r="M150" s="41">
        <v>1</v>
      </c>
      <c r="N150" s="2">
        <v>1</v>
      </c>
      <c r="O150" s="1"/>
      <c r="P150" s="44" cm="1">
        <f t="array" ref="P150:S151">MMULT(L150:N151,P143:S145)</f>
        <v>3</v>
      </c>
      <c r="Q150" s="44">
        <v>1</v>
      </c>
      <c r="R150" s="44">
        <v>2</v>
      </c>
      <c r="S150" s="44">
        <v>3</v>
      </c>
      <c r="T150" s="1"/>
      <c r="Z150" s="46" t="s">
        <v>62</v>
      </c>
      <c r="AA150" s="42">
        <v>3</v>
      </c>
      <c r="AB150" s="43">
        <v>2</v>
      </c>
      <c r="AE150" s="13">
        <v>9.1923881554251174</v>
      </c>
      <c r="AF150" s="13">
        <v>6.3639610306789276</v>
      </c>
      <c r="AG150" s="13">
        <v>4.2426406871192848</v>
      </c>
      <c r="AH150" s="13">
        <v>9.1923881554251174</v>
      </c>
      <c r="AJ150" s="49">
        <v>0.4839823747465663</v>
      </c>
      <c r="AK150" s="49">
        <v>0.24781918008890086</v>
      </c>
      <c r="AL150" s="49">
        <v>0.43436288553975921</v>
      </c>
      <c r="AM150" s="49">
        <v>0.4839823747465663</v>
      </c>
    </row>
    <row r="151" spans="1:39" ht="24" customHeight="1" x14ac:dyDescent="0.25">
      <c r="L151" s="41">
        <v>1</v>
      </c>
      <c r="M151" s="41">
        <v>0</v>
      </c>
      <c r="N151" s="2">
        <v>1</v>
      </c>
      <c r="O151" s="1"/>
      <c r="P151" s="45">
        <v>2</v>
      </c>
      <c r="Q151" s="45">
        <v>3</v>
      </c>
      <c r="R151" s="45">
        <v>0</v>
      </c>
      <c r="S151" s="45">
        <v>2</v>
      </c>
      <c r="T151" s="1"/>
    </row>
    <row r="152" spans="1:39" ht="24" customHeight="1" x14ac:dyDescent="0.25">
      <c r="N152" s="1"/>
      <c r="O152" s="1" t="s">
        <v>64</v>
      </c>
      <c r="P152" s="1" t="s">
        <v>65</v>
      </c>
      <c r="Q152" s="1" t="s">
        <v>66</v>
      </c>
      <c r="R152" s="1" t="s">
        <v>67</v>
      </c>
      <c r="S152" s="1" t="s">
        <v>68</v>
      </c>
      <c r="T152" s="1"/>
      <c r="Z152" t="s">
        <v>64</v>
      </c>
      <c r="AA152" s="1" t="s">
        <v>65</v>
      </c>
      <c r="AB152" s="1" t="s">
        <v>66</v>
      </c>
      <c r="AC152" s="1" t="s">
        <v>67</v>
      </c>
      <c r="AD152" s="1" t="s">
        <v>68</v>
      </c>
      <c r="AJ152" t="s">
        <v>69</v>
      </c>
    </row>
    <row r="153" spans="1:39" ht="24" customHeight="1" x14ac:dyDescent="0.25">
      <c r="L153" s="41">
        <v>0</v>
      </c>
      <c r="M153" s="41">
        <v>1</v>
      </c>
      <c r="N153" s="2">
        <v>-1</v>
      </c>
      <c r="O153" s="1"/>
      <c r="P153" s="11" cm="1">
        <f t="array" ref="P153:S155">MMULT(L153:N155,P143:S145)</f>
        <v>1</v>
      </c>
      <c r="Q153" s="11">
        <v>-1</v>
      </c>
      <c r="R153" s="11">
        <v>4</v>
      </c>
      <c r="S153" s="11">
        <v>-1</v>
      </c>
      <c r="T153" s="1"/>
      <c r="AA153" s="11" cm="1">
        <f t="array" ref="AA153:AD155">MMULT(L153:N155,P143:S145)</f>
        <v>1</v>
      </c>
      <c r="AB153" s="11">
        <v>-1</v>
      </c>
      <c r="AC153" s="11">
        <v>4</v>
      </c>
      <c r="AD153" s="11">
        <v>-1</v>
      </c>
      <c r="AJ153" s="33" cm="1">
        <f t="array" ref="AJ153:AM155">MMULT(AA153:AD155,AJ147:AM150)</f>
        <v>-1.488969588365191E-2</v>
      </c>
      <c r="AK153" s="33">
        <v>-0.49558240010066978</v>
      </c>
      <c r="AL153" s="33">
        <v>0.39673020253876157</v>
      </c>
      <c r="AM153" s="33">
        <v>-1.488969588365191E-2</v>
      </c>
    </row>
    <row r="154" spans="1:39" ht="24" customHeight="1" x14ac:dyDescent="0.25">
      <c r="L154" s="41">
        <v>1</v>
      </c>
      <c r="M154" s="41">
        <v>-1</v>
      </c>
      <c r="N154" s="2">
        <v>0</v>
      </c>
      <c r="O154" s="1"/>
      <c r="P154" s="12">
        <v>-1</v>
      </c>
      <c r="Q154" s="12">
        <v>2</v>
      </c>
      <c r="R154" s="12">
        <v>-2</v>
      </c>
      <c r="S154" s="12">
        <v>-1</v>
      </c>
      <c r="T154" s="1"/>
      <c r="AA154" s="12">
        <v>-1</v>
      </c>
      <c r="AB154" s="12">
        <v>2</v>
      </c>
      <c r="AC154" s="12">
        <v>-2</v>
      </c>
      <c r="AD154" s="12">
        <v>-1</v>
      </c>
      <c r="AJ154" s="34">
        <v>-0.9176106921779702</v>
      </c>
      <c r="AK154" s="34">
        <v>0.50606152768937207</v>
      </c>
      <c r="AL154" s="34">
        <v>-1.0285808584059497</v>
      </c>
      <c r="AM154" s="34">
        <v>-0.9176106921779702</v>
      </c>
    </row>
    <row r="155" spans="1:39" ht="24" customHeight="1" x14ac:dyDescent="0.25">
      <c r="L155" s="41">
        <v>1</v>
      </c>
      <c r="M155" s="41">
        <v>0</v>
      </c>
      <c r="N155" s="2">
        <v>-1</v>
      </c>
      <c r="O155" s="1"/>
      <c r="P155" s="13">
        <v>0</v>
      </c>
      <c r="Q155" s="13">
        <v>1</v>
      </c>
      <c r="R155" s="13">
        <v>2</v>
      </c>
      <c r="S155" s="13">
        <v>-2</v>
      </c>
      <c r="T155" s="1"/>
      <c r="AA155" s="13">
        <v>0</v>
      </c>
      <c r="AB155" s="13">
        <v>1</v>
      </c>
      <c r="AC155" s="13">
        <v>2</v>
      </c>
      <c r="AD155" s="13">
        <v>-2</v>
      </c>
      <c r="AJ155" s="35">
        <v>-0.93250038806162217</v>
      </c>
      <c r="AK155" s="35">
        <v>1.0479127588702175E-2</v>
      </c>
      <c r="AL155" s="35">
        <v>-0.63185065586718814</v>
      </c>
      <c r="AM155" s="35">
        <v>-0.93250038806162217</v>
      </c>
    </row>
    <row r="156" spans="1:39" ht="24" customHeight="1" x14ac:dyDescent="0.25">
      <c r="N156" s="1"/>
      <c r="O156" s="1"/>
      <c r="Q156" s="1"/>
      <c r="R156" s="1"/>
      <c r="S156" s="1"/>
      <c r="V156" s="1"/>
      <c r="AJ156" s="1" t="s">
        <v>70</v>
      </c>
      <c r="AK156" s="1" t="s">
        <v>71</v>
      </c>
      <c r="AL156" s="1" t="s">
        <v>72</v>
      </c>
      <c r="AM156" s="1" t="s">
        <v>73</v>
      </c>
    </row>
    <row r="158" spans="1:39" ht="24" customHeight="1" x14ac:dyDescent="0.25">
      <c r="N158" s="1"/>
      <c r="O158" s="1"/>
      <c r="Q158" s="1"/>
      <c r="R158" s="1"/>
      <c r="S158" s="1"/>
      <c r="V158" s="1"/>
      <c r="W158" s="1"/>
      <c r="X158" s="1"/>
      <c r="AF158" s="1"/>
      <c r="AG158" s="1"/>
      <c r="AH158" s="1"/>
      <c r="AI158" s="1"/>
    </row>
    <row r="159" spans="1:39" s="40" customFormat="1" ht="24" customHeight="1" x14ac:dyDescent="0.25">
      <c r="A159" s="40" t="s">
        <v>80</v>
      </c>
      <c r="N159" s="14"/>
      <c r="O159" s="14"/>
      <c r="Q159" s="14"/>
      <c r="R159" s="14"/>
      <c r="S159" s="14"/>
      <c r="V159" s="14"/>
      <c r="W159" s="14"/>
      <c r="X159" s="14"/>
      <c r="AF159" s="14"/>
      <c r="AG159" s="14"/>
      <c r="AH159" s="14"/>
      <c r="AI159" s="14"/>
    </row>
    <row r="160" spans="1:39" ht="24" customHeight="1" x14ac:dyDescent="0.25">
      <c r="N160" s="1"/>
      <c r="O160" s="1"/>
      <c r="Q160" s="1"/>
      <c r="R160" s="1"/>
      <c r="S160" s="1"/>
    </row>
    <row r="161" spans="12:39" ht="24" customHeight="1" x14ac:dyDescent="0.25">
      <c r="N161" s="1"/>
      <c r="O161" s="1"/>
      <c r="Q161" s="1"/>
      <c r="R161" s="1"/>
      <c r="S161" s="1"/>
    </row>
    <row r="162" spans="12:39" ht="24" customHeight="1" x14ac:dyDescent="0.25">
      <c r="N162" s="1"/>
      <c r="P162" t="s">
        <v>48</v>
      </c>
      <c r="S162" s="1"/>
      <c r="T162" s="1"/>
    </row>
    <row r="163" spans="12:39" ht="24" customHeight="1" x14ac:dyDescent="0.25">
      <c r="N163" s="1"/>
      <c r="S163" s="1"/>
      <c r="T163" s="1"/>
    </row>
    <row r="164" spans="12:39" ht="24" customHeight="1" x14ac:dyDescent="0.25">
      <c r="N164" s="1"/>
      <c r="P164" s="1" t="s">
        <v>37</v>
      </c>
      <c r="Q164" s="1" t="s">
        <v>38</v>
      </c>
      <c r="R164" s="1" t="s">
        <v>39</v>
      </c>
      <c r="S164" s="1" t="s">
        <v>40</v>
      </c>
      <c r="T164" s="1"/>
      <c r="X164" s="1"/>
      <c r="Y164" s="1"/>
      <c r="AD164" t="s">
        <v>49</v>
      </c>
      <c r="AE164" s="1" t="s">
        <v>50</v>
      </c>
      <c r="AF164" s="1" t="s">
        <v>51</v>
      </c>
      <c r="AG164" s="1" t="s">
        <v>52</v>
      </c>
      <c r="AH164" s="1" t="s">
        <v>53</v>
      </c>
    </row>
    <row r="165" spans="12:39" ht="24" customHeight="1" x14ac:dyDescent="0.25">
      <c r="N165" s="1"/>
      <c r="P165" s="8" cm="1">
        <f t="array" ref="P165:S167">MMULT(AA153:AD155,AJ147:AM150)</f>
        <v>-1.488969588365191E-2</v>
      </c>
      <c r="Q165" s="8">
        <v>-0.49558240010066978</v>
      </c>
      <c r="R165" s="8">
        <v>0.39673020253876157</v>
      </c>
      <c r="S165" s="8">
        <v>-1.488969588365191E-2</v>
      </c>
      <c r="T165" s="1"/>
      <c r="X165" s="1"/>
      <c r="Y165" s="1"/>
      <c r="AE165" s="44" cm="1">
        <f t="array" ref="AE165:AH166">MMULT(L170:N171,P165:S167)</f>
        <v>-1.8501110802395924</v>
      </c>
      <c r="AF165" s="44">
        <v>0.51654065527807425</v>
      </c>
      <c r="AG165" s="44">
        <v>-1.6604315142731378</v>
      </c>
      <c r="AH165" s="44">
        <v>-1.8501110802395924</v>
      </c>
    </row>
    <row r="166" spans="12:39" ht="24" customHeight="1" x14ac:dyDescent="0.25">
      <c r="N166" s="1"/>
      <c r="O166" s="1"/>
      <c r="P166" s="9">
        <v>-0.9176106921779702</v>
      </c>
      <c r="Q166" s="9">
        <v>0.50606152768937207</v>
      </c>
      <c r="R166" s="9">
        <v>-1.0285808584059497</v>
      </c>
      <c r="S166" s="9">
        <v>-0.9176106921779702</v>
      </c>
      <c r="T166" s="1"/>
      <c r="X166" s="1"/>
      <c r="Y166" s="1"/>
      <c r="AE166" s="45">
        <v>-0.94739008394527402</v>
      </c>
      <c r="AF166" s="45">
        <v>-0.48510327251196761</v>
      </c>
      <c r="AG166" s="45">
        <v>-0.23512045332842657</v>
      </c>
      <c r="AH166" s="45">
        <v>-0.94739008394527402</v>
      </c>
    </row>
    <row r="167" spans="12:39" ht="24" customHeight="1" x14ac:dyDescent="0.25">
      <c r="N167" s="1"/>
      <c r="O167" s="1"/>
      <c r="P167" s="10">
        <v>-0.93250038806162217</v>
      </c>
      <c r="Q167" s="10">
        <v>1.0479127588702175E-2</v>
      </c>
      <c r="R167" s="10">
        <v>-0.63185065586718814</v>
      </c>
      <c r="S167" s="10">
        <v>-0.93250038806162217</v>
      </c>
      <c r="T167" s="1"/>
      <c r="X167" s="1"/>
      <c r="Y167" s="1"/>
      <c r="AF167" s="1"/>
      <c r="AG167" s="1"/>
      <c r="AH167" s="1"/>
    </row>
    <row r="168" spans="12:39" ht="24" customHeight="1" x14ac:dyDescent="0.25">
      <c r="T168" s="1"/>
      <c r="Z168" t="s">
        <v>60</v>
      </c>
      <c r="AJ168" t="s">
        <v>46</v>
      </c>
    </row>
    <row r="169" spans="12:39" ht="24" customHeight="1" x14ac:dyDescent="0.25">
      <c r="N169" s="1"/>
      <c r="O169" s="1"/>
      <c r="P169" s="1" t="s">
        <v>50</v>
      </c>
      <c r="Q169" s="1" t="s">
        <v>51</v>
      </c>
      <c r="R169" s="1" t="s">
        <v>52</v>
      </c>
      <c r="S169" s="1" t="s">
        <v>53</v>
      </c>
      <c r="T169" s="1"/>
      <c r="Z169" s="46" t="s">
        <v>57</v>
      </c>
      <c r="AA169" s="42" cm="1">
        <f t="array" ref="AA169:AB174">TRANSPOSE(_xlfn.ANCHORARRAY(P178))</f>
        <v>2</v>
      </c>
      <c r="AB169" s="43">
        <v>1</v>
      </c>
      <c r="AE169" s="11" cm="1">
        <f t="array" ref="AE169:AH174">MMULT(_xlfn.ANCHORARRAY(AA169),_xlfn.ANCHORARRAY(AE165))</f>
        <v>-4.647612244424459</v>
      </c>
      <c r="AF169" s="11">
        <v>0.54797803804418088</v>
      </c>
      <c r="AG169" s="11">
        <v>-3.5559834818747023</v>
      </c>
      <c r="AH169" s="11">
        <v>-4.647612244424459</v>
      </c>
      <c r="AJ169" s="11" cm="1">
        <f t="array" ref="AJ169:AJ174">EXP(AE169:AE174)/SUM(EXP(AE169:AE174))</f>
        <v>1.3840974227980818E-3</v>
      </c>
      <c r="AK169" s="11" cm="1">
        <f t="array" ref="AK169:AK174">EXP(AF169:AF174)/SUM(EXP(AF169:AF174))</f>
        <v>0.25571302155812314</v>
      </c>
      <c r="AL169" s="11" cm="1">
        <f t="array" ref="AL169:AL174">EXP(AG169:AG174)/SUM(EXP(AG169:AG174))</f>
        <v>4.5313036750667893E-3</v>
      </c>
      <c r="AM169" s="11" cm="1">
        <f t="array" ref="AM169:AM174">EXP(AH169:AH174)/SUM(EXP(AH169:AH174))</f>
        <v>1.3840974227980818E-3</v>
      </c>
    </row>
    <row r="170" spans="12:39" ht="24" customHeight="1" x14ac:dyDescent="0.25">
      <c r="L170" s="41">
        <v>0</v>
      </c>
      <c r="M170" s="41">
        <v>1</v>
      </c>
      <c r="N170" s="2">
        <v>1</v>
      </c>
      <c r="O170" s="1"/>
      <c r="P170" s="44" cm="1">
        <f t="array" ref="P170:S171">MMULT(L170:N171,P165:S167)</f>
        <v>-1.8501110802395924</v>
      </c>
      <c r="Q170" s="44">
        <v>0.51654065527807425</v>
      </c>
      <c r="R170" s="44">
        <v>-1.6604315142731378</v>
      </c>
      <c r="S170" s="44">
        <v>-1.8501110802395924</v>
      </c>
      <c r="T170" s="1"/>
      <c r="Z170" s="46" t="s">
        <v>58</v>
      </c>
      <c r="AA170" s="42">
        <v>2</v>
      </c>
      <c r="AB170" s="43">
        <v>1</v>
      </c>
      <c r="AE170" s="12">
        <v>-4.647612244424459</v>
      </c>
      <c r="AF170" s="12">
        <v>0.54797803804418088</v>
      </c>
      <c r="AG170" s="12">
        <v>-3.5559834818747023</v>
      </c>
      <c r="AH170" s="12">
        <v>-4.647612244424459</v>
      </c>
      <c r="AJ170" s="12">
        <v>1.3840974227980818E-3</v>
      </c>
      <c r="AK170" s="12">
        <v>0.25571302155812314</v>
      </c>
      <c r="AL170" s="12">
        <v>4.5313036750667893E-3</v>
      </c>
      <c r="AM170" s="12">
        <v>1.3840974227980818E-3</v>
      </c>
    </row>
    <row r="171" spans="12:39" ht="24" customHeight="1" x14ac:dyDescent="0.25">
      <c r="L171" s="41">
        <v>1</v>
      </c>
      <c r="M171" s="41">
        <v>0</v>
      </c>
      <c r="N171" s="2">
        <v>1</v>
      </c>
      <c r="O171" s="1"/>
      <c r="P171" s="45">
        <v>-0.94739008394527402</v>
      </c>
      <c r="Q171" s="45">
        <v>-0.48510327251196761</v>
      </c>
      <c r="R171" s="45">
        <v>-0.23512045332842657</v>
      </c>
      <c r="S171" s="45">
        <v>-0.94739008394527402</v>
      </c>
      <c r="T171" s="1"/>
      <c r="Z171" s="46" t="s">
        <v>61</v>
      </c>
      <c r="AA171" s="42">
        <v>0</v>
      </c>
      <c r="AB171" s="43">
        <v>1</v>
      </c>
      <c r="AE171" s="12">
        <v>-0.94739008394527402</v>
      </c>
      <c r="AF171" s="12">
        <v>-0.48510327251196761</v>
      </c>
      <c r="AG171" s="12">
        <v>-0.23512045332842657</v>
      </c>
      <c r="AH171" s="12">
        <v>-0.94739008394527402</v>
      </c>
      <c r="AJ171" s="12">
        <v>5.5995448317796202E-2</v>
      </c>
      <c r="AK171" s="12">
        <v>9.1010464606726571E-2</v>
      </c>
      <c r="AL171" s="12">
        <v>0.12544566462534582</v>
      </c>
      <c r="AM171" s="12">
        <v>5.5995448317796202E-2</v>
      </c>
    </row>
    <row r="172" spans="12:39" ht="24" customHeight="1" x14ac:dyDescent="0.25">
      <c r="P172" t="s">
        <v>81</v>
      </c>
      <c r="T172" s="1"/>
      <c r="Z172" s="46" t="s">
        <v>62</v>
      </c>
      <c r="AA172" s="42">
        <v>1</v>
      </c>
      <c r="AB172" s="43">
        <v>0</v>
      </c>
      <c r="AE172" s="12">
        <v>-1.8501110802395924</v>
      </c>
      <c r="AF172" s="12">
        <v>0.51654065527807425</v>
      </c>
      <c r="AG172" s="12">
        <v>-1.6604315142731378</v>
      </c>
      <c r="AH172" s="12">
        <v>-1.8501110802395924</v>
      </c>
      <c r="AJ172" s="12">
        <v>2.2704188232387842E-2</v>
      </c>
      <c r="AK172" s="12">
        <v>0.24779912134703158</v>
      </c>
      <c r="AL172" s="12">
        <v>3.0161360534547842E-2</v>
      </c>
      <c r="AM172" s="12">
        <v>2.2704188232387842E-2</v>
      </c>
    </row>
    <row r="173" spans="12:39" ht="24" customHeight="1" x14ac:dyDescent="0.25">
      <c r="P173" s="1" t="s">
        <v>91</v>
      </c>
      <c r="Q173" s="1" t="s">
        <v>92</v>
      </c>
      <c r="R173" s="1" t="s">
        <v>93</v>
      </c>
      <c r="S173" s="1" t="s">
        <v>94</v>
      </c>
      <c r="T173" t="s">
        <v>95</v>
      </c>
      <c r="U173" s="1" t="s">
        <v>96</v>
      </c>
      <c r="Z173" s="46" t="s">
        <v>97</v>
      </c>
      <c r="AA173" s="42">
        <v>-1</v>
      </c>
      <c r="AB173" s="43">
        <v>0</v>
      </c>
      <c r="AE173" s="12">
        <v>1.8501110802395924</v>
      </c>
      <c r="AF173" s="12">
        <v>-0.51654065527807425</v>
      </c>
      <c r="AG173" s="12">
        <v>1.6604315142731378</v>
      </c>
      <c r="AH173" s="12">
        <v>1.8501110802395924</v>
      </c>
      <c r="AJ173" s="12">
        <v>0.91852724947213271</v>
      </c>
      <c r="AK173" s="12">
        <v>8.81938394279458E-2</v>
      </c>
      <c r="AL173" s="12">
        <v>0.83499411859772577</v>
      </c>
      <c r="AM173" s="12">
        <v>0.91852724947213271</v>
      </c>
    </row>
    <row r="174" spans="12:39" ht="24" customHeight="1" x14ac:dyDescent="0.25">
      <c r="P174" s="15">
        <v>2</v>
      </c>
      <c r="Q174" s="15">
        <v>0</v>
      </c>
      <c r="R174" s="15">
        <v>1</v>
      </c>
      <c r="S174" s="15">
        <v>0</v>
      </c>
      <c r="T174" s="15">
        <v>1</v>
      </c>
      <c r="U174" s="15">
        <v>2</v>
      </c>
      <c r="Z174" s="46" t="s">
        <v>98</v>
      </c>
      <c r="AA174" s="42">
        <v>3</v>
      </c>
      <c r="AB174" s="43">
        <v>5</v>
      </c>
      <c r="AE174" s="13">
        <v>-10.287283660445148</v>
      </c>
      <c r="AF174" s="13">
        <v>-0.87589439672561542</v>
      </c>
      <c r="AG174" s="13">
        <v>-6.1568968094615464</v>
      </c>
      <c r="AH174" s="13">
        <v>-10.287283660445148</v>
      </c>
      <c r="AJ174" s="13">
        <v>4.9191320870636927E-6</v>
      </c>
      <c r="AK174" s="13">
        <v>6.1570531502049788E-2</v>
      </c>
      <c r="AL174" s="13">
        <v>3.3624889224701871E-4</v>
      </c>
      <c r="AM174" s="13">
        <v>4.9191320870636927E-6</v>
      </c>
    </row>
    <row r="175" spans="12:39" ht="24" customHeight="1" x14ac:dyDescent="0.25">
      <c r="P175" s="25">
        <v>3</v>
      </c>
      <c r="Q175" s="25">
        <v>1</v>
      </c>
      <c r="R175" s="25">
        <v>0</v>
      </c>
      <c r="S175" s="25">
        <v>1</v>
      </c>
      <c r="T175" s="25">
        <v>0</v>
      </c>
      <c r="U175" s="25">
        <v>0</v>
      </c>
    </row>
    <row r="176" spans="12:39" ht="24" customHeight="1" x14ac:dyDescent="0.25">
      <c r="P176" s="16">
        <v>-1</v>
      </c>
      <c r="Q176" s="16">
        <v>1</v>
      </c>
      <c r="R176" s="16">
        <v>0</v>
      </c>
      <c r="S176" s="16">
        <v>0</v>
      </c>
      <c r="T176" s="16">
        <v>-1</v>
      </c>
      <c r="U176" s="16">
        <v>3</v>
      </c>
      <c r="Z176" t="s">
        <v>64</v>
      </c>
      <c r="AA176" s="1" t="s">
        <v>65</v>
      </c>
      <c r="AB176" s="1" t="s">
        <v>66</v>
      </c>
      <c r="AC176" s="1" t="s">
        <v>67</v>
      </c>
      <c r="AD176" s="1" t="s">
        <v>68</v>
      </c>
      <c r="AE176" s="1" t="s">
        <v>99</v>
      </c>
      <c r="AF176" s="1" t="s">
        <v>100</v>
      </c>
      <c r="AI176" s="1"/>
      <c r="AJ176" t="s">
        <v>69</v>
      </c>
    </row>
    <row r="177" spans="1:39" ht="24" customHeight="1" x14ac:dyDescent="0.25">
      <c r="P177" s="46" t="s">
        <v>57</v>
      </c>
      <c r="Q177" s="46" t="s">
        <v>58</v>
      </c>
      <c r="R177" s="46" t="s">
        <v>61</v>
      </c>
      <c r="S177" s="46" t="s">
        <v>62</v>
      </c>
      <c r="T177" s="46" t="s">
        <v>97</v>
      </c>
      <c r="U177" s="46" t="s">
        <v>98</v>
      </c>
      <c r="AA177" s="11" cm="1">
        <f t="array" ref="AA177:AF179">MMULT(L181:N183,P174:U176)</f>
        <v>4</v>
      </c>
      <c r="AB177" s="11">
        <v>0</v>
      </c>
      <c r="AC177" s="11">
        <v>0</v>
      </c>
      <c r="AD177" s="11">
        <v>1</v>
      </c>
      <c r="AE177" s="11">
        <v>1</v>
      </c>
      <c r="AF177" s="11">
        <v>-3</v>
      </c>
      <c r="AJ177" s="33" cm="1">
        <f t="array" ref="AJ177:AM179">MMULT(_xlfn.ANCHORARRAY(AA177),AJ169:AM174)</f>
        <v>0.94675306999945164</v>
      </c>
      <c r="AK177" s="33">
        <v>1.1741334525013207</v>
      </c>
      <c r="AL177" s="33">
        <v>0.88227194715579982</v>
      </c>
      <c r="AM177" s="33">
        <v>0.94675306999945164</v>
      </c>
    </row>
    <row r="178" spans="1:39" ht="24" customHeight="1" x14ac:dyDescent="0.25">
      <c r="L178" s="41">
        <v>0</v>
      </c>
      <c r="M178" s="41">
        <v>1</v>
      </c>
      <c r="N178" s="2">
        <v>1</v>
      </c>
      <c r="O178" s="1"/>
      <c r="P178" s="44" cm="1">
        <f t="array" ref="P178:U179">MMULT(L178:N179,P174:U176)</f>
        <v>2</v>
      </c>
      <c r="Q178" s="44">
        <v>2</v>
      </c>
      <c r="R178" s="44">
        <v>0</v>
      </c>
      <c r="S178" s="44">
        <v>1</v>
      </c>
      <c r="T178" s="44">
        <v>-1</v>
      </c>
      <c r="U178" s="44">
        <v>3</v>
      </c>
      <c r="AA178" s="12">
        <v>-1</v>
      </c>
      <c r="AB178" s="12">
        <v>-1</v>
      </c>
      <c r="AC178" s="12">
        <v>1</v>
      </c>
      <c r="AD178" s="12">
        <v>-1</v>
      </c>
      <c r="AE178" s="12">
        <v>1</v>
      </c>
      <c r="AF178" s="12">
        <v>2</v>
      </c>
      <c r="AJ178" s="34">
        <v>0.94906015297611901</v>
      </c>
      <c r="AK178" s="34">
        <v>-0.45687979742450591</v>
      </c>
      <c r="AL178" s="34">
        <v>0.92188831312288422</v>
      </c>
      <c r="AM178" s="34">
        <v>0.94906015297611901</v>
      </c>
    </row>
    <row r="179" spans="1:39" ht="24" customHeight="1" x14ac:dyDescent="0.25">
      <c r="L179" s="41">
        <v>1</v>
      </c>
      <c r="M179" s="41">
        <v>0</v>
      </c>
      <c r="N179" s="2">
        <v>1</v>
      </c>
      <c r="O179" s="1"/>
      <c r="P179" s="45">
        <v>1</v>
      </c>
      <c r="Q179" s="45">
        <v>1</v>
      </c>
      <c r="R179" s="45">
        <v>1</v>
      </c>
      <c r="S179" s="45">
        <v>0</v>
      </c>
      <c r="T179" s="45">
        <v>0</v>
      </c>
      <c r="U179" s="45">
        <v>5</v>
      </c>
      <c r="AA179" s="13">
        <v>3</v>
      </c>
      <c r="AB179" s="13">
        <v>-1</v>
      </c>
      <c r="AC179" s="13">
        <v>1</v>
      </c>
      <c r="AD179" s="13">
        <v>0</v>
      </c>
      <c r="AE179" s="13">
        <v>2</v>
      </c>
      <c r="AF179" s="13">
        <v>-1</v>
      </c>
      <c r="AJ179" s="35">
        <v>1.8958132229755709</v>
      </c>
      <c r="AK179" s="35">
        <v>0.7172536550768146</v>
      </c>
      <c r="AL179" s="35">
        <v>1.8041602602786839</v>
      </c>
      <c r="AM179" s="35">
        <v>1.8958132229755709</v>
      </c>
    </row>
    <row r="180" spans="1:39" ht="24" customHeight="1" x14ac:dyDescent="0.25">
      <c r="N180" s="1"/>
      <c r="O180" s="1"/>
      <c r="P180" s="46" t="s">
        <v>65</v>
      </c>
      <c r="Q180" s="46" t="s">
        <v>66</v>
      </c>
      <c r="R180" s="46" t="s">
        <v>67</v>
      </c>
      <c r="S180" s="46" t="s">
        <v>68</v>
      </c>
      <c r="T180" s="46" t="s">
        <v>99</v>
      </c>
      <c r="U180" s="46" t="s">
        <v>100</v>
      </c>
      <c r="AJ180" s="1" t="s">
        <v>70</v>
      </c>
      <c r="AK180" s="1" t="s">
        <v>71</v>
      </c>
      <c r="AL180" s="1" t="s">
        <v>72</v>
      </c>
      <c r="AM180" s="1" t="s">
        <v>73</v>
      </c>
    </row>
    <row r="181" spans="1:39" ht="24" customHeight="1" x14ac:dyDescent="0.25">
      <c r="L181" s="41">
        <v>0</v>
      </c>
      <c r="M181" s="41">
        <v>1</v>
      </c>
      <c r="N181" s="2">
        <v>-1</v>
      </c>
      <c r="O181" s="1"/>
      <c r="P181" s="11" cm="1">
        <f t="array" ref="P181:U183">MMULT(L181:N183,P174:U176)</f>
        <v>4</v>
      </c>
      <c r="Q181" s="11">
        <v>0</v>
      </c>
      <c r="R181" s="11">
        <v>0</v>
      </c>
      <c r="S181" s="11">
        <v>1</v>
      </c>
      <c r="T181" s="11">
        <v>1</v>
      </c>
      <c r="U181" s="11">
        <v>-3</v>
      </c>
    </row>
    <row r="182" spans="1:39" ht="24" customHeight="1" x14ac:dyDescent="0.25">
      <c r="L182" s="41">
        <v>1</v>
      </c>
      <c r="M182" s="41">
        <v>-1</v>
      </c>
      <c r="N182" s="2">
        <v>0</v>
      </c>
      <c r="O182" s="1"/>
      <c r="P182" s="12">
        <v>-1</v>
      </c>
      <c r="Q182" s="12">
        <v>-1</v>
      </c>
      <c r="R182" s="12">
        <v>1</v>
      </c>
      <c r="S182" s="12">
        <v>-1</v>
      </c>
      <c r="T182" s="12">
        <v>1</v>
      </c>
      <c r="U182" s="12">
        <v>2</v>
      </c>
    </row>
    <row r="183" spans="1:39" ht="24" customHeight="1" x14ac:dyDescent="0.25">
      <c r="L183" s="41">
        <v>1</v>
      </c>
      <c r="M183" s="41">
        <v>0</v>
      </c>
      <c r="N183" s="2">
        <v>-1</v>
      </c>
      <c r="O183" s="1"/>
      <c r="P183" s="13">
        <v>3</v>
      </c>
      <c r="Q183" s="13">
        <v>-1</v>
      </c>
      <c r="R183" s="13">
        <v>1</v>
      </c>
      <c r="S183" s="13">
        <v>0</v>
      </c>
      <c r="T183" s="13">
        <v>2</v>
      </c>
      <c r="U183" s="13">
        <v>-1</v>
      </c>
    </row>
    <row r="186" spans="1:39" s="40" customFormat="1" ht="24" customHeight="1" x14ac:dyDescent="0.25">
      <c r="A186" s="40" t="s">
        <v>76</v>
      </c>
      <c r="N186" s="14"/>
      <c r="O186" s="14"/>
      <c r="Q186" s="14"/>
      <c r="R186" s="14"/>
      <c r="S186" s="14"/>
      <c r="V186" s="14"/>
      <c r="W186" s="14"/>
      <c r="X186" s="14"/>
      <c r="AF186" s="14"/>
      <c r="AG186" s="14"/>
      <c r="AH186" s="14"/>
      <c r="AI186" s="14"/>
    </row>
    <row r="188" spans="1:39" ht="24" customHeight="1" x14ac:dyDescent="0.25">
      <c r="P188" s="1" t="s">
        <v>37</v>
      </c>
      <c r="Q188" s="1" t="s">
        <v>38</v>
      </c>
      <c r="R188" s="1" t="s">
        <v>39</v>
      </c>
      <c r="S188" s="1" t="s">
        <v>40</v>
      </c>
    </row>
    <row r="189" spans="1:39" ht="24" customHeight="1" x14ac:dyDescent="0.25">
      <c r="P189" s="8" cm="1">
        <f t="array" ref="P189:S191">MMULT(_xlfn.ANCHORARRAY(AA177),AJ169:AM174)</f>
        <v>0.94675306999945164</v>
      </c>
      <c r="Q189" s="8">
        <v>1.1741334525013207</v>
      </c>
      <c r="R189" s="8">
        <v>0.88227194715579982</v>
      </c>
      <c r="S189" s="8">
        <v>0.94675306999945164</v>
      </c>
    </row>
    <row r="190" spans="1:39" ht="24" customHeight="1" x14ac:dyDescent="0.25">
      <c r="P190" s="9">
        <v>0.94906015297611901</v>
      </c>
      <c r="Q190" s="9">
        <v>-0.45687979742450591</v>
      </c>
      <c r="R190" s="9">
        <v>0.92188831312288422</v>
      </c>
      <c r="S190" s="9">
        <v>0.94906015297611901</v>
      </c>
    </row>
    <row r="191" spans="1:39" ht="24" customHeight="1" x14ac:dyDescent="0.25">
      <c r="P191" s="10">
        <v>1.8958132229755709</v>
      </c>
      <c r="Q191" s="10">
        <v>0.7172536550768146</v>
      </c>
      <c r="R191" s="10">
        <v>1.8041602602786839</v>
      </c>
      <c r="S191" s="10">
        <v>1.8958132229755709</v>
      </c>
    </row>
    <row r="192" spans="1:39" ht="24" customHeight="1" x14ac:dyDescent="0.25">
      <c r="P192" s="1">
        <v>1</v>
      </c>
      <c r="Q192" s="1">
        <v>1</v>
      </c>
      <c r="R192" s="1">
        <v>1</v>
      </c>
      <c r="S192" s="1">
        <v>1</v>
      </c>
    </row>
    <row r="194" spans="10:19" ht="24" customHeight="1" x14ac:dyDescent="0.25">
      <c r="K194" s="1" t="s">
        <v>24</v>
      </c>
      <c r="L194" s="1"/>
      <c r="M194" s="1"/>
      <c r="N194" s="1" t="s">
        <v>25</v>
      </c>
      <c r="O194" s="1"/>
      <c r="P194" s="1"/>
      <c r="R194" s="1"/>
      <c r="S194" s="1"/>
    </row>
    <row r="195" spans="10:19" ht="24" customHeight="1" x14ac:dyDescent="0.25">
      <c r="K195" s="2">
        <v>1</v>
      </c>
      <c r="L195" s="2">
        <v>-1</v>
      </c>
      <c r="M195" s="2">
        <v>1</v>
      </c>
      <c r="N195" s="14">
        <v>1</v>
      </c>
      <c r="O195" s="1"/>
      <c r="P195" s="11" cm="1">
        <f t="array" ref="P195:S198">MMULT(K195:N198,P189:S192)</f>
        <v>2.8935061399989035</v>
      </c>
      <c r="Q195" s="11">
        <v>3.348266905002641</v>
      </c>
      <c r="R195" s="11">
        <v>2.7645438943115996</v>
      </c>
      <c r="S195" s="11">
        <v>2.8935061399989035</v>
      </c>
    </row>
    <row r="196" spans="10:19" ht="24" customHeight="1" x14ac:dyDescent="0.25">
      <c r="K196" s="2">
        <v>1</v>
      </c>
      <c r="L196" s="2">
        <v>0</v>
      </c>
      <c r="M196" s="2">
        <v>2</v>
      </c>
      <c r="N196" s="14">
        <v>-3</v>
      </c>
      <c r="O196" s="1"/>
      <c r="P196" s="12">
        <v>1.7383795159505935</v>
      </c>
      <c r="Q196" s="12">
        <v>-0.39135923734504985</v>
      </c>
      <c r="R196" s="12">
        <v>1.4905924677131672</v>
      </c>
      <c r="S196" s="12">
        <v>1.7383795159505935</v>
      </c>
    </row>
    <row r="197" spans="10:19" ht="24" customHeight="1" x14ac:dyDescent="0.25">
      <c r="K197" s="2">
        <v>1</v>
      </c>
      <c r="L197" s="2">
        <v>0</v>
      </c>
      <c r="M197" s="2">
        <v>1</v>
      </c>
      <c r="N197" s="14">
        <v>2</v>
      </c>
      <c r="O197" s="1"/>
      <c r="P197" s="12">
        <v>4.8425662929750226</v>
      </c>
      <c r="Q197" s="12">
        <v>3.8913871075781352</v>
      </c>
      <c r="R197" s="12">
        <v>4.6864322074344837</v>
      </c>
      <c r="S197" s="12">
        <v>4.8425662929750226</v>
      </c>
    </row>
    <row r="198" spans="10:19" ht="24" customHeight="1" x14ac:dyDescent="0.25">
      <c r="K198" s="2">
        <v>0</v>
      </c>
      <c r="L198" s="2">
        <v>0</v>
      </c>
      <c r="M198" s="2">
        <v>-1</v>
      </c>
      <c r="N198" s="14">
        <v>0</v>
      </c>
      <c r="O198" s="1"/>
      <c r="P198" s="13">
        <v>-1.8958132229755709</v>
      </c>
      <c r="Q198" s="13">
        <v>-0.7172536550768146</v>
      </c>
      <c r="R198" s="13">
        <v>-1.8041602602786839</v>
      </c>
      <c r="S198" s="13">
        <v>-1.8958132229755709</v>
      </c>
    </row>
    <row r="199" spans="10:19" ht="24" customHeight="1" x14ac:dyDescent="0.25">
      <c r="J199" s="1"/>
      <c r="K199" s="1"/>
      <c r="L199" s="1"/>
      <c r="M199" s="1"/>
      <c r="N199" s="1"/>
      <c r="O199" s="1"/>
      <c r="P199" s="1"/>
      <c r="R199" s="1"/>
      <c r="S199" s="1"/>
    </row>
    <row r="200" spans="10:19" ht="24" customHeight="1" x14ac:dyDescent="0.25">
      <c r="J200" s="1"/>
      <c r="K200" s="1"/>
      <c r="L200" t="s">
        <v>27</v>
      </c>
      <c r="M200" s="1"/>
      <c r="N200" s="1"/>
      <c r="O200" s="1"/>
      <c r="P200" s="11" cm="1">
        <f t="array" ref="P200:S203">_xlfn.MAP(_xlfn.ANCHORARRAY(P195),_xlfn.LAMBDA(_xlpm.x, MAX(_xlpm.x,0)))</f>
        <v>2.8935061399989035</v>
      </c>
      <c r="Q200" s="11">
        <v>3.348266905002641</v>
      </c>
      <c r="R200" s="11">
        <v>2.7645438943115996</v>
      </c>
      <c r="S200" s="11">
        <v>2.8935061399989035</v>
      </c>
    </row>
    <row r="201" spans="10:19" ht="24" customHeight="1" x14ac:dyDescent="0.25">
      <c r="J201" s="1"/>
      <c r="K201" s="1"/>
      <c r="L201" s="1"/>
      <c r="M201" s="1"/>
      <c r="N201" s="1"/>
      <c r="O201" s="1"/>
      <c r="P201" s="12">
        <v>1.7383795159505935</v>
      </c>
      <c r="Q201" s="12">
        <v>0</v>
      </c>
      <c r="R201" s="12">
        <v>1.4905924677131672</v>
      </c>
      <c r="S201" s="12">
        <v>1.7383795159505935</v>
      </c>
    </row>
    <row r="202" spans="10:19" ht="24" customHeight="1" x14ac:dyDescent="0.25">
      <c r="J202" s="1"/>
      <c r="K202" s="1"/>
      <c r="L202" s="1"/>
      <c r="M202" s="1"/>
      <c r="N202" s="1"/>
      <c r="O202" s="1"/>
      <c r="P202" s="12">
        <v>4.8425662929750226</v>
      </c>
      <c r="Q202" s="12">
        <v>3.8913871075781352</v>
      </c>
      <c r="R202" s="12">
        <v>4.6864322074344837</v>
      </c>
      <c r="S202" s="12">
        <v>4.8425662929750226</v>
      </c>
    </row>
    <row r="203" spans="10:19" ht="24" customHeight="1" x14ac:dyDescent="0.25">
      <c r="J203" s="1"/>
      <c r="K203" s="1"/>
      <c r="L203" s="1"/>
      <c r="M203" s="1"/>
      <c r="N203" s="1"/>
      <c r="O203" s="1"/>
      <c r="P203" s="13">
        <v>0</v>
      </c>
      <c r="Q203" s="13">
        <v>0</v>
      </c>
      <c r="R203" s="13">
        <v>0</v>
      </c>
      <c r="S203" s="13">
        <v>0</v>
      </c>
    </row>
    <row r="204" spans="10:19" ht="24" customHeight="1" x14ac:dyDescent="0.25">
      <c r="J204" s="3" t="s">
        <v>23</v>
      </c>
      <c r="K204" s="1"/>
      <c r="L204" s="1"/>
      <c r="M204" s="1"/>
      <c r="N204" s="1"/>
      <c r="O204" s="1"/>
      <c r="P204" s="1">
        <v>1</v>
      </c>
      <c r="Q204" s="1">
        <v>1</v>
      </c>
      <c r="R204" s="1">
        <v>1</v>
      </c>
      <c r="S204" s="1">
        <v>1</v>
      </c>
    </row>
    <row r="205" spans="10:19" ht="24" customHeight="1" x14ac:dyDescent="0.25">
      <c r="J205" s="1" t="s">
        <v>24</v>
      </c>
      <c r="K205" s="1"/>
      <c r="L205" s="1"/>
      <c r="M205" s="1"/>
      <c r="N205" s="1" t="s">
        <v>25</v>
      </c>
      <c r="O205" s="3"/>
      <c r="P205" s="1"/>
      <c r="R205" s="3"/>
      <c r="S205" s="1"/>
    </row>
    <row r="206" spans="10:19" ht="24" customHeight="1" x14ac:dyDescent="0.25">
      <c r="J206" s="2">
        <v>1</v>
      </c>
      <c r="K206" s="2">
        <v>-1</v>
      </c>
      <c r="L206" s="2">
        <v>0</v>
      </c>
      <c r="M206" s="2">
        <v>0</v>
      </c>
      <c r="N206" s="14">
        <v>0</v>
      </c>
      <c r="P206" s="11" cm="1">
        <f t="array" ref="P206:S208">MMULT($J206:$N208,P200:S204)</f>
        <v>1.15512662404831</v>
      </c>
      <c r="Q206" s="11">
        <v>3.348266905002641</v>
      </c>
      <c r="R206" s="11">
        <v>1.2739514265984324</v>
      </c>
      <c r="S206" s="11">
        <v>1.15512662404831</v>
      </c>
    </row>
    <row r="207" spans="10:19" ht="24" customHeight="1" x14ac:dyDescent="0.25">
      <c r="J207" s="2">
        <v>0</v>
      </c>
      <c r="K207" s="2">
        <v>1</v>
      </c>
      <c r="L207" s="2">
        <v>0</v>
      </c>
      <c r="M207" s="2">
        <v>1</v>
      </c>
      <c r="N207" s="14">
        <v>5</v>
      </c>
      <c r="P207" s="12">
        <v>6.7383795159505935</v>
      </c>
      <c r="Q207" s="12">
        <v>5</v>
      </c>
      <c r="R207" s="12">
        <v>6.4905924677131672</v>
      </c>
      <c r="S207" s="12">
        <v>6.7383795159505935</v>
      </c>
    </row>
    <row r="208" spans="10:19" ht="24" customHeight="1" x14ac:dyDescent="0.25">
      <c r="J208" s="2">
        <v>0</v>
      </c>
      <c r="K208" s="2">
        <v>0</v>
      </c>
      <c r="L208" s="2">
        <v>1</v>
      </c>
      <c r="M208" s="2">
        <v>-1</v>
      </c>
      <c r="N208" s="14">
        <v>-3</v>
      </c>
      <c r="P208" s="13">
        <v>1.8425662929750226</v>
      </c>
      <c r="Q208" s="13">
        <v>0.89138710757813522</v>
      </c>
      <c r="R208" s="13">
        <v>1.6864322074344837</v>
      </c>
      <c r="S208" s="13">
        <v>1.8425662929750226</v>
      </c>
    </row>
    <row r="210" spans="1:22" ht="24" customHeight="1" x14ac:dyDescent="0.25">
      <c r="L210" t="s">
        <v>27</v>
      </c>
      <c r="P210" s="11" cm="1">
        <f t="array" ref="P210:S212">_xlfn.MAP(_xlfn.ANCHORARRAY(P206),_xlfn.LAMBDA(_xlpm.x, MAX(_xlpm.x,0)))</f>
        <v>1.15512662404831</v>
      </c>
      <c r="Q210" s="11">
        <v>3.348266905002641</v>
      </c>
      <c r="R210" s="11">
        <v>1.2739514265984324</v>
      </c>
      <c r="S210" s="11">
        <v>1.15512662404831</v>
      </c>
    </row>
    <row r="211" spans="1:22" ht="24" customHeight="1" x14ac:dyDescent="0.25">
      <c r="P211" s="12">
        <v>6.7383795159505935</v>
      </c>
      <c r="Q211" s="12">
        <v>5</v>
      </c>
      <c r="R211" s="12">
        <v>6.4905924677131672</v>
      </c>
      <c r="S211" s="12">
        <v>6.7383795159505935</v>
      </c>
    </row>
    <row r="212" spans="1:22" ht="24" customHeight="1" x14ac:dyDescent="0.25">
      <c r="O212" s="27"/>
      <c r="P212" s="13">
        <v>1.8425662929750226</v>
      </c>
      <c r="Q212" s="13">
        <v>0.89138710757813522</v>
      </c>
      <c r="R212" s="13">
        <v>1.6864322074344837</v>
      </c>
      <c r="S212" s="13">
        <v>1.8425662929750226</v>
      </c>
    </row>
    <row r="215" spans="1:22" s="5" customFormat="1" ht="24" customHeight="1" x14ac:dyDescent="0.35">
      <c r="A215" s="4" t="s">
        <v>102</v>
      </c>
    </row>
    <row r="219" spans="1:22" ht="24" customHeight="1" x14ac:dyDescent="0.25">
      <c r="Q219" t="s">
        <v>103</v>
      </c>
    </row>
    <row r="220" spans="1:22" ht="24" customHeight="1" x14ac:dyDescent="0.25">
      <c r="Q220" s="62">
        <v>2</v>
      </c>
      <c r="R220" s="62">
        <v>0</v>
      </c>
      <c r="S220" s="62">
        <v>1</v>
      </c>
      <c r="T220" s="62">
        <v>0</v>
      </c>
      <c r="U220" s="62">
        <v>1</v>
      </c>
      <c r="V220" s="62">
        <v>0</v>
      </c>
    </row>
    <row r="221" spans="1:22" ht="24" customHeight="1" x14ac:dyDescent="0.25">
      <c r="Q221" s="63">
        <v>3</v>
      </c>
      <c r="R221" s="63">
        <v>1</v>
      </c>
      <c r="S221" s="63">
        <v>0</v>
      </c>
      <c r="T221" s="63">
        <v>1</v>
      </c>
      <c r="U221" s="63">
        <v>0</v>
      </c>
      <c r="V221" s="63">
        <v>1</v>
      </c>
    </row>
    <row r="222" spans="1:22" ht="24" customHeight="1" x14ac:dyDescent="0.25">
      <c r="Q222" s="64">
        <v>-1</v>
      </c>
      <c r="R222" s="64">
        <v>1</v>
      </c>
      <c r="S222" s="64">
        <v>0</v>
      </c>
      <c r="T222" s="64">
        <v>0</v>
      </c>
      <c r="U222" s="64">
        <v>-1</v>
      </c>
      <c r="V222" s="64">
        <v>1</v>
      </c>
    </row>
    <row r="227" spans="13:45" ht="24" customHeight="1" x14ac:dyDescent="0.25">
      <c r="Q227" s="1" t="s">
        <v>91</v>
      </c>
      <c r="R227" s="1" t="s">
        <v>92</v>
      </c>
      <c r="S227" s="1" t="s">
        <v>93</v>
      </c>
      <c r="T227" s="1" t="s">
        <v>94</v>
      </c>
      <c r="U227" s="1" t="s">
        <v>95</v>
      </c>
      <c r="V227" s="1" t="s">
        <v>96</v>
      </c>
      <c r="AF227" t="s">
        <v>49</v>
      </c>
      <c r="AG227" s="1" t="s">
        <v>50</v>
      </c>
      <c r="AH227" s="1" t="s">
        <v>51</v>
      </c>
      <c r="AI227" s="1" t="s">
        <v>52</v>
      </c>
      <c r="AJ227" s="1" t="s">
        <v>53</v>
      </c>
      <c r="AK227" s="1" t="s">
        <v>104</v>
      </c>
      <c r="AL227" s="1" t="s">
        <v>105</v>
      </c>
    </row>
    <row r="228" spans="13:45" ht="24" customHeight="1" x14ac:dyDescent="0.25">
      <c r="Q228" s="62">
        <v>2</v>
      </c>
      <c r="R228" s="62">
        <v>0</v>
      </c>
      <c r="S228" s="62">
        <v>1</v>
      </c>
      <c r="T228" s="62">
        <v>0</v>
      </c>
      <c r="U228" s="62">
        <v>1</v>
      </c>
      <c r="V228" s="62">
        <v>0</v>
      </c>
      <c r="AG228" s="44" cm="1">
        <f t="array" ref="AG228:AL229">_xlfn.ANCHORARRAY(Q233)</f>
        <v>2</v>
      </c>
      <c r="AH228" s="44">
        <v>2</v>
      </c>
      <c r="AI228" s="44">
        <v>0</v>
      </c>
      <c r="AJ228" s="44">
        <v>1</v>
      </c>
      <c r="AK228" s="44">
        <v>-1</v>
      </c>
      <c r="AL228" s="44">
        <v>2</v>
      </c>
    </row>
    <row r="229" spans="13:45" ht="24" customHeight="1" x14ac:dyDescent="0.25">
      <c r="Q229" s="63">
        <v>3</v>
      </c>
      <c r="R229" s="63">
        <v>1</v>
      </c>
      <c r="S229" s="63">
        <v>0</v>
      </c>
      <c r="T229" s="63">
        <v>1</v>
      </c>
      <c r="U229" s="63">
        <v>0</v>
      </c>
      <c r="V229" s="63">
        <v>1</v>
      </c>
      <c r="AG229" s="45">
        <v>1</v>
      </c>
      <c r="AH229" s="45">
        <v>1</v>
      </c>
      <c r="AI229" s="45">
        <v>1</v>
      </c>
      <c r="AJ229" s="45">
        <v>0</v>
      </c>
      <c r="AK229" s="45">
        <v>0</v>
      </c>
      <c r="AL229" s="45">
        <v>1</v>
      </c>
    </row>
    <row r="230" spans="13:45" ht="24" customHeight="1" x14ac:dyDescent="0.25">
      <c r="Q230" s="64">
        <v>-1</v>
      </c>
      <c r="R230" s="64">
        <v>1</v>
      </c>
      <c r="S230" s="64">
        <v>0</v>
      </c>
      <c r="T230" s="64">
        <v>0</v>
      </c>
      <c r="U230" s="64">
        <v>-1</v>
      </c>
      <c r="V230" s="64">
        <v>1</v>
      </c>
      <c r="AH230" s="1"/>
      <c r="AI230" s="1"/>
      <c r="AJ230" s="1"/>
    </row>
    <row r="231" spans="13:45" ht="24" customHeight="1" x14ac:dyDescent="0.25">
      <c r="AB231" t="s">
        <v>60</v>
      </c>
    </row>
    <row r="232" spans="13:45" ht="24" customHeight="1" x14ac:dyDescent="0.25">
      <c r="Q232" s="1" t="s">
        <v>50</v>
      </c>
      <c r="R232" s="1" t="s">
        <v>51</v>
      </c>
      <c r="S232" s="1" t="s">
        <v>52</v>
      </c>
      <c r="T232" s="1" t="s">
        <v>53</v>
      </c>
      <c r="U232" s="46" t="s">
        <v>104</v>
      </c>
      <c r="V232" s="46" t="s">
        <v>105</v>
      </c>
      <c r="AB232" s="46" t="s">
        <v>57</v>
      </c>
      <c r="AC232" s="42" cm="1">
        <f t="array" ref="AC232:AD237">TRANSPOSE(_xlfn.ANCHORARRAY(Q236))</f>
        <v>2</v>
      </c>
      <c r="AD232" s="43">
        <v>1</v>
      </c>
      <c r="AG232" s="11" cm="1">
        <f t="array" ref="AG232:AL237">MMULT(_xlfn.ANCHORARRAY(AC232),_xlfn.ANCHORARRAY(AG228))/SQRT(2)</f>
        <v>3.5355339059327373</v>
      </c>
      <c r="AH232" s="11">
        <v>3.5355339059327373</v>
      </c>
      <c r="AI232" s="11">
        <v>0.70710678118654746</v>
      </c>
      <c r="AJ232" s="11">
        <v>1.4142135623730949</v>
      </c>
      <c r="AK232" s="11">
        <v>-1.4142135623730949</v>
      </c>
      <c r="AL232" s="11">
        <v>3.5355339059327373</v>
      </c>
      <c r="AN232" s="11" cm="1">
        <f t="array" ref="AN232:AN237">EXP(AG232:AG237)/SUM(EXP(AG232:AG237))</f>
        <v>0.31386687113618944</v>
      </c>
      <c r="AO232" s="11" cm="1">
        <f t="array" ref="AO232:AO237">EXP(AH232:AH237)/SUM(EXP(AH232:AH237))</f>
        <v>0.31386687113618944</v>
      </c>
      <c r="AP232" s="11" cm="1">
        <f t="array" ref="AP232:AP237">EXP(AI232:AI237)/SUM(EXP(AI232:AI237))</f>
        <v>0.20055604633989296</v>
      </c>
      <c r="AQ232" s="11" cm="1">
        <f t="array" ref="AQ232:AQ237">EXP(AJ232:AJ237)/SUM(EXP(AJ232:AJ237))</f>
        <v>0.2593321533827509</v>
      </c>
      <c r="AR232" s="11" cm="1">
        <f t="array" ref="AR232:AR237">EXP(AK232:AK237)/SUM(EXP(AK232:AK237))</f>
        <v>5.71967525743491E-2</v>
      </c>
      <c r="AS232" s="11" cm="1">
        <f t="array" ref="AS232:AS237">EXP(AL232:AL237)/SUM(EXP(AL232:AL237))</f>
        <v>0.31386687113618944</v>
      </c>
    </row>
    <row r="233" spans="13:45" ht="24" customHeight="1" x14ac:dyDescent="0.25">
      <c r="M233" s="41">
        <v>0</v>
      </c>
      <c r="N233" s="41">
        <v>1</v>
      </c>
      <c r="O233" s="2">
        <v>1</v>
      </c>
      <c r="P233" s="1"/>
      <c r="Q233" s="44" cm="1">
        <f t="array" ref="Q233:V234">MMULT(M233:O234,Q228:V230)</f>
        <v>2</v>
      </c>
      <c r="R233" s="44">
        <v>2</v>
      </c>
      <c r="S233" s="44">
        <v>0</v>
      </c>
      <c r="T233" s="44">
        <v>1</v>
      </c>
      <c r="U233" s="44">
        <v>-1</v>
      </c>
      <c r="V233" s="44">
        <v>2</v>
      </c>
      <c r="AB233" s="46" t="s">
        <v>58</v>
      </c>
      <c r="AC233" s="42">
        <v>2</v>
      </c>
      <c r="AD233" s="43">
        <v>1</v>
      </c>
      <c r="AG233" s="12">
        <v>3.5355339059327373</v>
      </c>
      <c r="AH233" s="12">
        <v>3.5355339059327373</v>
      </c>
      <c r="AI233" s="12">
        <v>0.70710678118654746</v>
      </c>
      <c r="AJ233" s="12">
        <v>1.4142135623730949</v>
      </c>
      <c r="AK233" s="12">
        <v>-1.4142135623730949</v>
      </c>
      <c r="AL233" s="12">
        <v>3.5355339059327373</v>
      </c>
      <c r="AN233" s="12">
        <v>0.31386687113618944</v>
      </c>
      <c r="AO233" s="12">
        <v>0.31386687113618944</v>
      </c>
      <c r="AP233" s="12">
        <v>0.20055604633989296</v>
      </c>
      <c r="AQ233" s="12">
        <v>0.2593321533827509</v>
      </c>
      <c r="AR233" s="12">
        <v>5.71967525743491E-2</v>
      </c>
      <c r="AS233" s="12">
        <v>0.31386687113618944</v>
      </c>
    </row>
    <row r="234" spans="13:45" ht="24" customHeight="1" x14ac:dyDescent="0.25">
      <c r="M234" s="41">
        <v>1</v>
      </c>
      <c r="N234" s="41">
        <v>0</v>
      </c>
      <c r="O234" s="2">
        <v>1</v>
      </c>
      <c r="P234" s="1"/>
      <c r="Q234" s="45">
        <v>1</v>
      </c>
      <c r="R234" s="45">
        <v>1</v>
      </c>
      <c r="S234" s="45">
        <v>1</v>
      </c>
      <c r="T234" s="45">
        <v>0</v>
      </c>
      <c r="U234" s="45">
        <v>0</v>
      </c>
      <c r="V234" s="45">
        <v>1</v>
      </c>
      <c r="AB234" s="46" t="s">
        <v>61</v>
      </c>
      <c r="AC234" s="42">
        <v>0</v>
      </c>
      <c r="AD234" s="43">
        <v>1</v>
      </c>
      <c r="AG234" s="12">
        <v>0.70710678118654746</v>
      </c>
      <c r="AH234" s="12">
        <v>0.70710678118654746</v>
      </c>
      <c r="AI234" s="12">
        <v>0.70710678118654746</v>
      </c>
      <c r="AJ234" s="12">
        <v>0</v>
      </c>
      <c r="AK234" s="12">
        <v>0</v>
      </c>
      <c r="AL234" s="12">
        <v>0.70710678118654746</v>
      </c>
      <c r="AN234" s="12">
        <v>1.8551335739569793E-2</v>
      </c>
      <c r="AO234" s="12">
        <v>1.8551335739569793E-2</v>
      </c>
      <c r="AP234" s="12">
        <v>0.20055604633989296</v>
      </c>
      <c r="AQ234" s="12">
        <v>6.304798626420717E-2</v>
      </c>
      <c r="AR234" s="12">
        <v>0.23526456419159478</v>
      </c>
      <c r="AS234" s="12">
        <v>1.8551335739569793E-2</v>
      </c>
    </row>
    <row r="235" spans="13:45" ht="24" customHeight="1" x14ac:dyDescent="0.25">
      <c r="Q235" s="46" t="s">
        <v>57</v>
      </c>
      <c r="R235" s="46" t="s">
        <v>58</v>
      </c>
      <c r="S235" s="46" t="s">
        <v>61</v>
      </c>
      <c r="T235" s="46" t="s">
        <v>62</v>
      </c>
      <c r="U235" s="46" t="s">
        <v>97</v>
      </c>
      <c r="V235" s="46" t="s">
        <v>98</v>
      </c>
      <c r="AB235" s="46" t="s">
        <v>62</v>
      </c>
      <c r="AC235" s="42">
        <v>1</v>
      </c>
      <c r="AD235" s="43">
        <v>0</v>
      </c>
      <c r="AG235" s="12">
        <v>1.4142135623730949</v>
      </c>
      <c r="AH235" s="12">
        <v>1.4142135623730949</v>
      </c>
      <c r="AI235" s="12">
        <v>0</v>
      </c>
      <c r="AJ235" s="12">
        <v>0.70710678118654746</v>
      </c>
      <c r="AK235" s="12">
        <v>-0.70710678118654746</v>
      </c>
      <c r="AL235" s="12">
        <v>1.4142135623730949</v>
      </c>
      <c r="AN235" s="12">
        <v>3.7624241942993686E-2</v>
      </c>
      <c r="AO235" s="12">
        <v>3.7624241942993686E-2</v>
      </c>
      <c r="AP235" s="12">
        <v>9.8887907320214102E-2</v>
      </c>
      <c r="AQ235" s="12">
        <v>0.12786856550514258</v>
      </c>
      <c r="AR235" s="12">
        <v>0.11600159079762104</v>
      </c>
      <c r="AS235" s="12">
        <v>3.7624241942993686E-2</v>
      </c>
    </row>
    <row r="236" spans="13:45" ht="24" customHeight="1" x14ac:dyDescent="0.25">
      <c r="M236" s="41">
        <v>0</v>
      </c>
      <c r="N236" s="41">
        <v>1</v>
      </c>
      <c r="O236" s="2">
        <v>1</v>
      </c>
      <c r="P236" s="1"/>
      <c r="Q236" s="44" cm="1">
        <f t="array" ref="Q236:V237">MMULT(M236:O237,Q228:V230)</f>
        <v>2</v>
      </c>
      <c r="R236" s="44">
        <v>2</v>
      </c>
      <c r="S236" s="44">
        <v>0</v>
      </c>
      <c r="T236" s="44">
        <v>1</v>
      </c>
      <c r="U236" s="44">
        <v>-1</v>
      </c>
      <c r="V236" s="44">
        <v>2</v>
      </c>
      <c r="AB236" s="46" t="s">
        <v>97</v>
      </c>
      <c r="AC236" s="42">
        <v>-1</v>
      </c>
      <c r="AD236" s="43">
        <v>0</v>
      </c>
      <c r="AG236" s="12">
        <v>-1.4142135623730949</v>
      </c>
      <c r="AH236" s="12">
        <v>-1.4142135623730949</v>
      </c>
      <c r="AI236" s="12">
        <v>0</v>
      </c>
      <c r="AJ236" s="12">
        <v>-0.70710678118654746</v>
      </c>
      <c r="AK236" s="12">
        <v>0.70710678118654746</v>
      </c>
      <c r="AL236" s="12">
        <v>-1.4142135623730949</v>
      </c>
      <c r="AN236" s="12">
        <v>2.2238089088683095E-3</v>
      </c>
      <c r="AO236" s="12">
        <v>2.2238089088683095E-3</v>
      </c>
      <c r="AP236" s="12">
        <v>9.8887907320214102E-2</v>
      </c>
      <c r="AQ236" s="12">
        <v>3.1086988082397682E-2</v>
      </c>
      <c r="AR236" s="12">
        <v>0.47714358728773676</v>
      </c>
      <c r="AS236" s="12">
        <v>2.2238089088683095E-3</v>
      </c>
    </row>
    <row r="237" spans="13:45" ht="24" customHeight="1" x14ac:dyDescent="0.25">
      <c r="M237" s="41">
        <v>1</v>
      </c>
      <c r="N237" s="41">
        <v>0</v>
      </c>
      <c r="O237" s="2">
        <v>1</v>
      </c>
      <c r="P237" s="1"/>
      <c r="Q237" s="45">
        <v>1</v>
      </c>
      <c r="R237" s="45">
        <v>1</v>
      </c>
      <c r="S237" s="45">
        <v>1</v>
      </c>
      <c r="T237" s="45">
        <v>0</v>
      </c>
      <c r="U237" s="45">
        <v>0</v>
      </c>
      <c r="V237" s="45">
        <v>1</v>
      </c>
      <c r="AB237" s="46" t="s">
        <v>98</v>
      </c>
      <c r="AC237" s="42">
        <v>2</v>
      </c>
      <c r="AD237" s="43">
        <v>1</v>
      </c>
      <c r="AG237" s="13">
        <v>3.5355339059327373</v>
      </c>
      <c r="AH237" s="13">
        <v>3.5355339059327373</v>
      </c>
      <c r="AI237" s="13">
        <v>0.70710678118654746</v>
      </c>
      <c r="AJ237" s="13">
        <v>1.4142135623730949</v>
      </c>
      <c r="AK237" s="13">
        <v>-1.4142135623730949</v>
      </c>
      <c r="AL237" s="13">
        <v>3.5355339059327373</v>
      </c>
      <c r="AN237" s="13">
        <v>0.31386687113618944</v>
      </c>
      <c r="AO237" s="13">
        <v>0.31386687113618944</v>
      </c>
      <c r="AP237" s="13">
        <v>0.20055604633989296</v>
      </c>
      <c r="AQ237" s="13">
        <v>0.2593321533827509</v>
      </c>
      <c r="AR237" s="13">
        <v>5.71967525743491E-2</v>
      </c>
      <c r="AS237" s="13">
        <v>0.31386687113618944</v>
      </c>
    </row>
    <row r="239" spans="13:45" ht="24" customHeight="1" x14ac:dyDescent="0.25">
      <c r="O239" s="1"/>
      <c r="P239" s="1"/>
      <c r="Q239" s="46" t="s">
        <v>65</v>
      </c>
      <c r="R239" s="46" t="s">
        <v>66</v>
      </c>
      <c r="S239" s="46" t="s">
        <v>67</v>
      </c>
      <c r="T239" s="46" t="s">
        <v>68</v>
      </c>
      <c r="U239" s="46" t="s">
        <v>99</v>
      </c>
      <c r="V239" s="46" t="s">
        <v>100</v>
      </c>
      <c r="AC239" s="46" t="s">
        <v>65</v>
      </c>
      <c r="AD239" s="46" t="s">
        <v>66</v>
      </c>
      <c r="AE239" s="46" t="s">
        <v>67</v>
      </c>
      <c r="AF239" s="46" t="s">
        <v>68</v>
      </c>
      <c r="AG239" s="46" t="s">
        <v>99</v>
      </c>
      <c r="AH239" s="46" t="s">
        <v>100</v>
      </c>
    </row>
    <row r="240" spans="13:45" ht="24" customHeight="1" x14ac:dyDescent="0.25">
      <c r="M240" s="41">
        <v>0</v>
      </c>
      <c r="N240" s="41">
        <v>1</v>
      </c>
      <c r="O240" s="2">
        <v>-1</v>
      </c>
      <c r="P240" s="1"/>
      <c r="Q240" s="11" cm="1">
        <f t="array" ref="Q240:V242">MMULT(M240:O242,Q228:V230)</f>
        <v>4</v>
      </c>
      <c r="R240" s="11">
        <v>0</v>
      </c>
      <c r="S240" s="11">
        <v>0</v>
      </c>
      <c r="T240" s="11">
        <v>1</v>
      </c>
      <c r="U240" s="11">
        <v>1</v>
      </c>
      <c r="V240" s="11">
        <v>0</v>
      </c>
      <c r="AC240" s="11" cm="1">
        <f t="array" ref="AC240:AH242">_xlfn.ANCHORARRAY(Q240)</f>
        <v>4</v>
      </c>
      <c r="AD240" s="11">
        <v>0</v>
      </c>
      <c r="AE240" s="11">
        <v>0</v>
      </c>
      <c r="AF240" s="11">
        <v>1</v>
      </c>
      <c r="AG240" s="11">
        <v>1</v>
      </c>
      <c r="AH240" s="11">
        <v>0</v>
      </c>
      <c r="AN240" s="33" cm="1">
        <f t="array" ref="AN240:AS242">MMULT(_xlfn.ANCHORARRAY(AC240),AN232:AS237)</f>
        <v>1.2953155353966199</v>
      </c>
      <c r="AO240" s="33">
        <v>1.2953155353966199</v>
      </c>
      <c r="AP240" s="33">
        <v>1</v>
      </c>
      <c r="AQ240" s="33">
        <v>1.1962841671185438</v>
      </c>
      <c r="AR240" s="33">
        <v>0.82193218838275417</v>
      </c>
      <c r="AS240" s="33">
        <v>1.2953155353966199</v>
      </c>
    </row>
    <row r="241" spans="12:45" ht="24" customHeight="1" x14ac:dyDescent="0.25">
      <c r="M241" s="41">
        <v>1</v>
      </c>
      <c r="N241" s="41">
        <v>-1</v>
      </c>
      <c r="O241" s="2">
        <v>0</v>
      </c>
      <c r="P241" s="1"/>
      <c r="Q241" s="12">
        <v>-1</v>
      </c>
      <c r="R241" s="12">
        <v>-1</v>
      </c>
      <c r="S241" s="12">
        <v>1</v>
      </c>
      <c r="T241" s="12">
        <v>-1</v>
      </c>
      <c r="U241" s="12">
        <v>1</v>
      </c>
      <c r="V241" s="12">
        <v>-1</v>
      </c>
      <c r="AC241" s="12">
        <v>-1</v>
      </c>
      <c r="AD241" s="12">
        <v>-1</v>
      </c>
      <c r="AE241" s="12">
        <v>1</v>
      </c>
      <c r="AF241" s="12">
        <v>-1</v>
      </c>
      <c r="AG241" s="12">
        <v>1</v>
      </c>
      <c r="AH241" s="12">
        <v>-1</v>
      </c>
      <c r="AN241" s="34">
        <v>-0.95844971070312401</v>
      </c>
      <c r="AO241" s="34">
        <v>-0.95844971070312401</v>
      </c>
      <c r="AP241" s="34">
        <v>-0.40111209267978593</v>
      </c>
      <c r="AQ241" s="34">
        <v>-0.81173005130679043</v>
      </c>
      <c r="AR241" s="34">
        <v>0.42481630295866324</v>
      </c>
      <c r="AS241" s="34">
        <v>-0.95844971070312401</v>
      </c>
    </row>
    <row r="242" spans="12:45" ht="24" customHeight="1" x14ac:dyDescent="0.25">
      <c r="M242" s="41">
        <v>1</v>
      </c>
      <c r="N242" s="41">
        <v>0</v>
      </c>
      <c r="O242" s="2">
        <v>-1</v>
      </c>
      <c r="P242" s="1"/>
      <c r="Q242" s="13">
        <v>3</v>
      </c>
      <c r="R242" s="13">
        <v>-1</v>
      </c>
      <c r="S242" s="13">
        <v>1</v>
      </c>
      <c r="T242" s="13">
        <v>0</v>
      </c>
      <c r="U242" s="13">
        <v>2</v>
      </c>
      <c r="V242" s="13">
        <v>-1</v>
      </c>
      <c r="AC242" s="13">
        <v>3</v>
      </c>
      <c r="AD242" s="13">
        <v>-1</v>
      </c>
      <c r="AE242" s="13">
        <v>1</v>
      </c>
      <c r="AF242" s="13">
        <v>0</v>
      </c>
      <c r="AG242" s="13">
        <v>2</v>
      </c>
      <c r="AH242" s="13">
        <v>-1</v>
      </c>
      <c r="AN242" s="35">
        <v>0.33686582469349596</v>
      </c>
      <c r="AO242" s="35">
        <v>0.33686582469349596</v>
      </c>
      <c r="AP242" s="35">
        <v>0.59888790732021402</v>
      </c>
      <c r="AQ242" s="35">
        <v>0.38455411581175353</v>
      </c>
      <c r="AR242" s="35">
        <v>1.2467484913414173</v>
      </c>
      <c r="AS242" s="35">
        <v>0.33686582469349596</v>
      </c>
    </row>
    <row r="248" spans="12:45" ht="24" customHeight="1" x14ac:dyDescent="0.25">
      <c r="Q248" s="28" cm="1">
        <f t="array" ref="Q248:V250">_xlfn.ANCHORARRAY(AN240)</f>
        <v>1.2953155353966199</v>
      </c>
      <c r="R248" s="28">
        <v>1.2953155353966199</v>
      </c>
      <c r="S248" s="28">
        <v>1</v>
      </c>
      <c r="T248" s="28">
        <v>1.1962841671185438</v>
      </c>
      <c r="U248" s="28">
        <v>0.82193218838275417</v>
      </c>
      <c r="V248" s="28">
        <v>1.2953155353966199</v>
      </c>
    </row>
    <row r="249" spans="12:45" ht="24" customHeight="1" x14ac:dyDescent="0.25">
      <c r="Q249" s="30">
        <v>-0.95844971070312401</v>
      </c>
      <c r="R249" s="30">
        <v>-0.95844971070312401</v>
      </c>
      <c r="S249" s="30">
        <v>-0.40111209267978593</v>
      </c>
      <c r="T249" s="30">
        <v>-0.81173005130679043</v>
      </c>
      <c r="U249" s="30">
        <v>0.42481630295866324</v>
      </c>
      <c r="V249" s="30">
        <v>-0.95844971070312401</v>
      </c>
    </row>
    <row r="250" spans="12:45" ht="24" customHeight="1" x14ac:dyDescent="0.25">
      <c r="Q250" s="29">
        <v>0.33686582469349596</v>
      </c>
      <c r="R250" s="29">
        <v>0.33686582469349596</v>
      </c>
      <c r="S250" s="29">
        <v>0.59888790732021402</v>
      </c>
      <c r="T250" s="29">
        <v>0.38455411581175353</v>
      </c>
      <c r="U250" s="29">
        <v>1.2467484913414173</v>
      </c>
      <c r="V250" s="29">
        <v>0.33686582469349596</v>
      </c>
    </row>
    <row r="251" spans="12:45" ht="24" customHeight="1" x14ac:dyDescent="0.25">
      <c r="Q251" s="1">
        <v>1</v>
      </c>
      <c r="R251" s="1">
        <v>1</v>
      </c>
      <c r="S251" s="1">
        <v>1</v>
      </c>
      <c r="T251" s="1">
        <v>1</v>
      </c>
      <c r="U251" s="1">
        <v>1</v>
      </c>
      <c r="V251" s="1">
        <v>1</v>
      </c>
    </row>
    <row r="252" spans="12:45" ht="24" customHeight="1" x14ac:dyDescent="0.25">
      <c r="L252" s="1" t="s">
        <v>24</v>
      </c>
      <c r="M252" s="1"/>
      <c r="N252" s="1"/>
      <c r="O252" s="1" t="s">
        <v>25</v>
      </c>
      <c r="P252" s="1"/>
      <c r="Q252" s="1"/>
      <c r="S252" s="1"/>
      <c r="T252" s="1"/>
    </row>
    <row r="253" spans="12:45" ht="24" customHeight="1" x14ac:dyDescent="0.25">
      <c r="L253" s="2">
        <v>1</v>
      </c>
      <c r="M253" s="2">
        <v>-1</v>
      </c>
      <c r="N253" s="2">
        <v>1</v>
      </c>
      <c r="O253" s="14">
        <v>1</v>
      </c>
      <c r="P253" s="1"/>
      <c r="Q253" s="11" cm="1">
        <f t="array" ref="Q253:V256">MMULT(L253:O256,Q248:V251)</f>
        <v>3.5906310707932398</v>
      </c>
      <c r="R253" s="11">
        <v>3.5906310707932398</v>
      </c>
      <c r="S253" s="11">
        <v>3</v>
      </c>
      <c r="T253" s="11">
        <v>3.3925683342370876</v>
      </c>
      <c r="U253" s="11">
        <v>2.6438643767655083</v>
      </c>
      <c r="V253" s="11">
        <v>3.5906310707932398</v>
      </c>
    </row>
    <row r="254" spans="12:45" ht="24" customHeight="1" x14ac:dyDescent="0.25">
      <c r="L254" s="2">
        <v>1</v>
      </c>
      <c r="M254" s="2">
        <v>0</v>
      </c>
      <c r="N254" s="2">
        <v>2</v>
      </c>
      <c r="O254" s="14">
        <v>-3</v>
      </c>
      <c r="P254" s="1"/>
      <c r="Q254" s="12">
        <v>-1.0309528152163883</v>
      </c>
      <c r="R254" s="12">
        <v>-1.0309528152163883</v>
      </c>
      <c r="S254" s="12">
        <v>-0.80222418535957196</v>
      </c>
      <c r="T254" s="12">
        <v>-1.034607601257949</v>
      </c>
      <c r="U254" s="12">
        <v>0.31542917106558876</v>
      </c>
      <c r="V254" s="12">
        <v>-1.0309528152163883</v>
      </c>
    </row>
    <row r="255" spans="12:45" ht="24" customHeight="1" x14ac:dyDescent="0.25">
      <c r="L255" s="2">
        <v>1</v>
      </c>
      <c r="M255" s="2">
        <v>0</v>
      </c>
      <c r="N255" s="2">
        <v>1</v>
      </c>
      <c r="O255" s="14">
        <v>2</v>
      </c>
      <c r="P255" s="1"/>
      <c r="Q255" s="12">
        <v>3.6321813600901161</v>
      </c>
      <c r="R255" s="12">
        <v>3.6321813600901161</v>
      </c>
      <c r="S255" s="12">
        <v>3.598887907320214</v>
      </c>
      <c r="T255" s="12">
        <v>3.5808382829302974</v>
      </c>
      <c r="U255" s="12">
        <v>4.0686806797241717</v>
      </c>
      <c r="V255" s="12">
        <v>3.6321813600901161</v>
      </c>
    </row>
    <row r="256" spans="12:45" ht="24" customHeight="1" x14ac:dyDescent="0.25">
      <c r="L256" s="2">
        <v>0</v>
      </c>
      <c r="M256" s="2">
        <v>0</v>
      </c>
      <c r="N256" s="2">
        <v>-1</v>
      </c>
      <c r="O256" s="14">
        <v>0</v>
      </c>
      <c r="P256" s="1"/>
      <c r="Q256" s="13">
        <v>-0.33686582469349596</v>
      </c>
      <c r="R256" s="13">
        <v>-0.33686582469349596</v>
      </c>
      <c r="S256" s="13">
        <v>-0.59888790732021402</v>
      </c>
      <c r="T256" s="13">
        <v>-0.38455411581175353</v>
      </c>
      <c r="U256" s="13">
        <v>-1.2467484913414173</v>
      </c>
      <c r="V256" s="13">
        <v>-0.33686582469349596</v>
      </c>
    </row>
    <row r="257" spans="11:22" ht="24" customHeight="1" x14ac:dyDescent="0.25">
      <c r="K257" s="1"/>
      <c r="L257" s="1"/>
      <c r="M257" s="1"/>
      <c r="N257" s="1"/>
      <c r="O257" s="1"/>
      <c r="P257" s="1"/>
      <c r="Q257" s="1"/>
      <c r="S257" s="1"/>
      <c r="T257" s="1"/>
    </row>
    <row r="258" spans="11:22" ht="24" customHeight="1" x14ac:dyDescent="0.25">
      <c r="K258" s="1"/>
      <c r="L258" s="1"/>
      <c r="M258" t="s">
        <v>27</v>
      </c>
      <c r="N258" s="1"/>
      <c r="O258" s="1"/>
      <c r="P258" s="1"/>
      <c r="Q258" s="11" cm="1">
        <f t="array" ref="Q258:V261">_xlfn.MAP(_xlfn.ANCHORARRAY(Q253),_xlfn.LAMBDA(_xlpm.x, MAX(_xlpm.x,0)))</f>
        <v>3.5906310707932398</v>
      </c>
      <c r="R258" s="11">
        <v>3.5906310707932398</v>
      </c>
      <c r="S258" s="11">
        <v>3</v>
      </c>
      <c r="T258" s="11">
        <v>3.3925683342370876</v>
      </c>
      <c r="U258" s="11">
        <v>2.6438643767655083</v>
      </c>
      <c r="V258" s="11">
        <v>3.5906310707932398</v>
      </c>
    </row>
    <row r="259" spans="11:22" ht="24" customHeight="1" x14ac:dyDescent="0.25">
      <c r="K259" s="1"/>
      <c r="L259" s="1"/>
      <c r="M259" s="1"/>
      <c r="N259" s="1"/>
      <c r="O259" s="1"/>
      <c r="P259" s="1"/>
      <c r="Q259" s="12">
        <v>0</v>
      </c>
      <c r="R259" s="12">
        <v>0</v>
      </c>
      <c r="S259" s="12">
        <v>0</v>
      </c>
      <c r="T259" s="12">
        <v>0</v>
      </c>
      <c r="U259" s="12">
        <v>0.31542917106558876</v>
      </c>
      <c r="V259" s="12">
        <v>0</v>
      </c>
    </row>
    <row r="260" spans="11:22" ht="24" customHeight="1" x14ac:dyDescent="0.25">
      <c r="K260" s="1"/>
      <c r="L260" s="1"/>
      <c r="M260" s="1"/>
      <c r="N260" s="1"/>
      <c r="O260" s="1"/>
      <c r="P260" s="1"/>
      <c r="Q260" s="12">
        <v>3.6321813600901161</v>
      </c>
      <c r="R260" s="12">
        <v>3.6321813600901161</v>
      </c>
      <c r="S260" s="12">
        <v>3.598887907320214</v>
      </c>
      <c r="T260" s="12">
        <v>3.5808382829302974</v>
      </c>
      <c r="U260" s="12">
        <v>4.0686806797241717</v>
      </c>
      <c r="V260" s="12">
        <v>3.6321813600901161</v>
      </c>
    </row>
    <row r="261" spans="11:22" ht="24" customHeight="1" x14ac:dyDescent="0.25">
      <c r="K261" s="1"/>
      <c r="L261" s="1"/>
      <c r="M261" s="1"/>
      <c r="N261" s="1"/>
      <c r="O261" s="1"/>
      <c r="P261" s="1"/>
      <c r="Q261" s="13">
        <v>0</v>
      </c>
      <c r="R261" s="13">
        <v>0</v>
      </c>
      <c r="S261" s="13">
        <v>0</v>
      </c>
      <c r="T261" s="13">
        <v>0</v>
      </c>
      <c r="U261" s="13">
        <v>0</v>
      </c>
      <c r="V261" s="13">
        <v>0</v>
      </c>
    </row>
    <row r="262" spans="11:22" ht="24" customHeight="1" x14ac:dyDescent="0.25">
      <c r="K262" s="3" t="s">
        <v>23</v>
      </c>
      <c r="L262" s="1"/>
      <c r="M262" s="1"/>
      <c r="N262" s="1"/>
      <c r="O262" s="1"/>
      <c r="P262" s="1"/>
      <c r="Q262" s="1">
        <v>1</v>
      </c>
      <c r="R262" s="1">
        <v>1</v>
      </c>
      <c r="S262" s="1">
        <v>1</v>
      </c>
      <c r="T262" s="1">
        <v>1</v>
      </c>
      <c r="U262" s="1">
        <v>1</v>
      </c>
      <c r="V262" s="1">
        <v>1</v>
      </c>
    </row>
    <row r="263" spans="11:22" ht="24" customHeight="1" x14ac:dyDescent="0.25">
      <c r="K263" s="1" t="s">
        <v>24</v>
      </c>
      <c r="L263" s="1"/>
      <c r="M263" s="1"/>
      <c r="N263" s="1"/>
      <c r="O263" s="1" t="s">
        <v>25</v>
      </c>
      <c r="P263" s="3"/>
      <c r="Q263" s="1"/>
      <c r="S263" s="3"/>
      <c r="T263" s="1"/>
      <c r="U263" s="1"/>
      <c r="V263" s="1"/>
    </row>
    <row r="264" spans="11:22" ht="24" customHeight="1" x14ac:dyDescent="0.25">
      <c r="K264" s="2">
        <v>1</v>
      </c>
      <c r="L264" s="2">
        <v>-1</v>
      </c>
      <c r="M264" s="2">
        <v>0</v>
      </c>
      <c r="N264" s="2">
        <v>0</v>
      </c>
      <c r="O264" s="14">
        <v>0</v>
      </c>
      <c r="Q264" s="11" cm="1">
        <f t="array" ref="Q264:V266">MMULT($K264:$O266,Q258:V262)</f>
        <v>3.5906310707932398</v>
      </c>
      <c r="R264" s="11">
        <v>3.5906310707932398</v>
      </c>
      <c r="S264" s="11">
        <v>3</v>
      </c>
      <c r="T264" s="11">
        <v>3.3925683342370876</v>
      </c>
      <c r="U264" s="11">
        <v>2.3284352056999196</v>
      </c>
      <c r="V264" s="11">
        <v>3.5906310707932398</v>
      </c>
    </row>
    <row r="265" spans="11:22" ht="24" customHeight="1" x14ac:dyDescent="0.25">
      <c r="K265" s="2">
        <v>0</v>
      </c>
      <c r="L265" s="2">
        <v>1</v>
      </c>
      <c r="M265" s="2">
        <v>0</v>
      </c>
      <c r="N265" s="2">
        <v>1</v>
      </c>
      <c r="O265" s="14">
        <v>5</v>
      </c>
      <c r="Q265" s="12">
        <v>5</v>
      </c>
      <c r="R265" s="12">
        <v>5</v>
      </c>
      <c r="S265" s="12">
        <v>5</v>
      </c>
      <c r="T265" s="12">
        <v>5</v>
      </c>
      <c r="U265" s="12">
        <v>5.3154291710655883</v>
      </c>
      <c r="V265" s="12">
        <v>5</v>
      </c>
    </row>
    <row r="266" spans="11:22" ht="24" customHeight="1" x14ac:dyDescent="0.25">
      <c r="K266" s="2">
        <v>0</v>
      </c>
      <c r="L266" s="2">
        <v>0</v>
      </c>
      <c r="M266" s="2">
        <v>1</v>
      </c>
      <c r="N266" s="2">
        <v>-1</v>
      </c>
      <c r="O266" s="14">
        <v>-3</v>
      </c>
      <c r="Q266" s="13">
        <v>0.63218136009011605</v>
      </c>
      <c r="R266" s="13">
        <v>0.63218136009011605</v>
      </c>
      <c r="S266" s="13">
        <v>0.59888790732021402</v>
      </c>
      <c r="T266" s="13">
        <v>0.58083828293029738</v>
      </c>
      <c r="U266" s="13">
        <v>1.0686806797241717</v>
      </c>
      <c r="V266" s="13">
        <v>0.63218136009011605</v>
      </c>
    </row>
    <row r="268" spans="11:22" ht="24" customHeight="1" x14ac:dyDescent="0.25">
      <c r="M268" t="s">
        <v>27</v>
      </c>
      <c r="Q268" s="11" cm="1">
        <f t="array" ref="Q268:V270">_xlfn.MAP(_xlfn.ANCHORARRAY(Q264),_xlfn.LAMBDA(_xlpm.x, MAX(_xlpm.x,0)))</f>
        <v>3.5906310707932398</v>
      </c>
      <c r="R268" s="11">
        <v>3.5906310707932398</v>
      </c>
      <c r="S268" s="11">
        <v>3</v>
      </c>
      <c r="T268" s="11">
        <v>3.3925683342370876</v>
      </c>
      <c r="U268" s="11">
        <v>2.3284352056999196</v>
      </c>
      <c r="V268" s="11">
        <v>3.5906310707932398</v>
      </c>
    </row>
    <row r="269" spans="11:22" ht="24" customHeight="1" x14ac:dyDescent="0.25">
      <c r="Q269" s="12">
        <v>5</v>
      </c>
      <c r="R269" s="12">
        <v>5</v>
      </c>
      <c r="S269" s="12">
        <v>5</v>
      </c>
      <c r="T269" s="12">
        <v>5</v>
      </c>
      <c r="U269" s="12">
        <v>5.3154291710655883</v>
      </c>
      <c r="V269" s="12">
        <v>5</v>
      </c>
    </row>
    <row r="270" spans="11:22" ht="24" customHeight="1" x14ac:dyDescent="0.25">
      <c r="P270" s="27"/>
      <c r="Q270" s="13">
        <v>0.63218136009011605</v>
      </c>
      <c r="R270" s="13">
        <v>0.63218136009011605</v>
      </c>
      <c r="S270" s="13">
        <v>0.59888790732021402</v>
      </c>
      <c r="T270" s="13">
        <v>0.58083828293029738</v>
      </c>
      <c r="U270" s="13">
        <v>1.0686806797241717</v>
      </c>
      <c r="V270" s="13">
        <v>0.63218136009011605</v>
      </c>
    </row>
    <row r="273" spans="12:22" ht="24" customHeight="1" x14ac:dyDescent="0.25">
      <c r="L273" t="s">
        <v>106</v>
      </c>
      <c r="Q273" s="11" cm="1">
        <f t="array" ref="Q273:V275">_xlfn.MAP(_xlfn.ANCHORARRAY(Q264),_xlfn.LAMBDA(_xlpm.x, MAX(_xlpm.x,0)))</f>
        <v>3.5906310707932398</v>
      </c>
      <c r="R273" s="11">
        <v>3.5906310707932398</v>
      </c>
      <c r="S273" s="11">
        <v>3</v>
      </c>
      <c r="T273" s="11">
        <v>3.3925683342370876</v>
      </c>
      <c r="U273" s="11">
        <v>2.3284352056999196</v>
      </c>
      <c r="V273" s="11">
        <v>3.5906310707932398</v>
      </c>
    </row>
    <row r="274" spans="12:22" ht="24" customHeight="1" x14ac:dyDescent="0.25">
      <c r="Q274" s="12">
        <v>5</v>
      </c>
      <c r="R274" s="12">
        <v>5</v>
      </c>
      <c r="S274" s="12">
        <v>5</v>
      </c>
      <c r="T274" s="12">
        <v>5</v>
      </c>
      <c r="U274" s="12">
        <v>5.3154291710655883</v>
      </c>
      <c r="V274" s="12">
        <v>5</v>
      </c>
    </row>
    <row r="275" spans="12:22" ht="24" customHeight="1" x14ac:dyDescent="0.25">
      <c r="Q275" s="13">
        <v>0.63218136009011605</v>
      </c>
      <c r="R275" s="13">
        <v>0.63218136009011605</v>
      </c>
      <c r="S275" s="13">
        <v>0.59888790732021402</v>
      </c>
      <c r="T275" s="13">
        <v>0.58083828293029738</v>
      </c>
      <c r="U275" s="13">
        <v>1.0686806797241717</v>
      </c>
      <c r="V275" s="13">
        <v>0.63218136009011605</v>
      </c>
    </row>
    <row r="282" spans="12:22" ht="24" customHeight="1" x14ac:dyDescent="0.25">
      <c r="Q282" t="s">
        <v>107</v>
      </c>
    </row>
    <row r="283" spans="12:22" ht="24" customHeight="1" x14ac:dyDescent="0.25">
      <c r="Q283" t="s">
        <v>108</v>
      </c>
    </row>
    <row r="284" spans="12:22" ht="24" customHeight="1" x14ac:dyDescent="0.25">
      <c r="Q284" s="1" t="s">
        <v>37</v>
      </c>
      <c r="R284" s="1" t="s">
        <v>38</v>
      </c>
      <c r="S284" s="1" t="s">
        <v>39</v>
      </c>
      <c r="T284" s="1" t="s">
        <v>40</v>
      </c>
    </row>
    <row r="285" spans="12:22" ht="24" customHeight="1" x14ac:dyDescent="0.25">
      <c r="Q285" s="62">
        <v>1</v>
      </c>
      <c r="R285" s="62">
        <v>2</v>
      </c>
      <c r="S285" s="62">
        <v>1</v>
      </c>
      <c r="T285" s="62">
        <v>0</v>
      </c>
    </row>
    <row r="286" spans="12:22" ht="24" customHeight="1" x14ac:dyDescent="0.25">
      <c r="Q286" s="63">
        <v>1</v>
      </c>
      <c r="R286" s="63">
        <v>0</v>
      </c>
      <c r="S286" s="63">
        <v>3</v>
      </c>
      <c r="T286" s="63">
        <v>1</v>
      </c>
    </row>
    <row r="287" spans="12:22" ht="24" customHeight="1" x14ac:dyDescent="0.25">
      <c r="Q287" s="64">
        <v>1</v>
      </c>
      <c r="R287" s="64">
        <v>1</v>
      </c>
      <c r="S287" s="64">
        <v>-1</v>
      </c>
      <c r="T287" s="64">
        <v>2</v>
      </c>
    </row>
    <row r="291" spans="13:40" ht="24" customHeight="1" x14ac:dyDescent="0.25">
      <c r="O291" s="1"/>
      <c r="U291" s="1"/>
    </row>
    <row r="292" spans="13:40" ht="24" customHeight="1" x14ac:dyDescent="0.25">
      <c r="O292" s="1"/>
      <c r="Q292" s="1"/>
      <c r="R292" s="1"/>
      <c r="S292" s="1"/>
      <c r="T292" s="1"/>
      <c r="U292" s="1"/>
    </row>
    <row r="293" spans="13:40" ht="24" customHeight="1" x14ac:dyDescent="0.25">
      <c r="O293" s="1"/>
      <c r="Q293" s="62">
        <v>1</v>
      </c>
      <c r="R293" s="62">
        <v>2</v>
      </c>
      <c r="S293" s="62">
        <v>1</v>
      </c>
      <c r="T293" s="62">
        <v>0</v>
      </c>
      <c r="U293" s="1"/>
      <c r="AE293" t="s">
        <v>49</v>
      </c>
      <c r="AF293" s="1" t="s">
        <v>50</v>
      </c>
      <c r="AG293" s="1" t="s">
        <v>51</v>
      </c>
      <c r="AH293" s="1" t="s">
        <v>52</v>
      </c>
      <c r="AI293" s="1" t="s">
        <v>53</v>
      </c>
    </row>
    <row r="294" spans="13:40" ht="24" customHeight="1" x14ac:dyDescent="0.25">
      <c r="O294" s="1"/>
      <c r="Q294" s="63">
        <v>1</v>
      </c>
      <c r="R294" s="63">
        <v>0</v>
      </c>
      <c r="S294" s="63">
        <v>3</v>
      </c>
      <c r="T294" s="63">
        <v>1</v>
      </c>
      <c r="U294" s="1"/>
      <c r="Y294" s="1"/>
      <c r="Z294" s="1"/>
      <c r="AF294" s="44" cm="1">
        <f t="array" ref="AF294:AI295">_xlfn.ANCHORARRAY(Q298)</f>
        <v>2</v>
      </c>
      <c r="AG294" s="44">
        <v>1</v>
      </c>
      <c r="AH294" s="44">
        <v>2</v>
      </c>
      <c r="AI294" s="44">
        <v>3</v>
      </c>
    </row>
    <row r="295" spans="13:40" ht="24" customHeight="1" x14ac:dyDescent="0.25">
      <c r="O295" s="1"/>
      <c r="P295" s="1"/>
      <c r="Q295" s="64">
        <v>1</v>
      </c>
      <c r="R295" s="64">
        <v>1</v>
      </c>
      <c r="S295" s="64">
        <v>-1</v>
      </c>
      <c r="T295" s="64">
        <v>2</v>
      </c>
      <c r="U295" s="1"/>
      <c r="Y295" s="1"/>
      <c r="Z295" s="1"/>
      <c r="AF295" s="45">
        <v>2</v>
      </c>
      <c r="AG295" s="45">
        <v>3</v>
      </c>
      <c r="AH295" s="45">
        <v>0</v>
      </c>
      <c r="AI295" s="45">
        <v>2</v>
      </c>
    </row>
    <row r="296" spans="13:40" ht="24" customHeight="1" x14ac:dyDescent="0.25">
      <c r="O296" s="1"/>
      <c r="P296" s="1"/>
      <c r="U296" s="1"/>
      <c r="Y296" s="1"/>
      <c r="Z296" s="1"/>
      <c r="AG296" s="1"/>
      <c r="AH296" s="1"/>
      <c r="AI296" s="1"/>
    </row>
    <row r="297" spans="13:40" ht="24" customHeight="1" x14ac:dyDescent="0.25">
      <c r="O297" s="1"/>
      <c r="P297" s="1"/>
      <c r="Q297" s="46" t="s">
        <v>50</v>
      </c>
      <c r="R297" s="46" t="s">
        <v>51</v>
      </c>
      <c r="S297" s="46" t="s">
        <v>52</v>
      </c>
      <c r="T297" s="46" t="s">
        <v>53</v>
      </c>
      <c r="U297" s="1"/>
      <c r="Y297" s="1"/>
      <c r="Z297" s="1"/>
      <c r="AA297" t="s">
        <v>60</v>
      </c>
    </row>
    <row r="298" spans="13:40" ht="24" customHeight="1" x14ac:dyDescent="0.25">
      <c r="M298" s="41">
        <v>0</v>
      </c>
      <c r="N298" s="41">
        <v>1</v>
      </c>
      <c r="O298" s="2">
        <v>1</v>
      </c>
      <c r="P298" s="1"/>
      <c r="Q298" s="44" cm="1">
        <f t="array" ref="Q298:T299">MMULT(M298:O299,Q293:T295)</f>
        <v>2</v>
      </c>
      <c r="R298" s="44">
        <v>1</v>
      </c>
      <c r="S298" s="44">
        <v>2</v>
      </c>
      <c r="T298" s="44">
        <v>3</v>
      </c>
      <c r="U298" s="1"/>
      <c r="AA298" s="46" t="s">
        <v>57</v>
      </c>
      <c r="AB298" s="42" cm="1">
        <f t="array" ref="AB298:AC301">TRANSPOSE(_xlfn.ANCHORARRAY(Q301))</f>
        <v>2</v>
      </c>
      <c r="AC298" s="43">
        <v>2</v>
      </c>
      <c r="AF298" s="11" cm="1">
        <f t="array" ref="AF298:AI301">MMULT(_xlfn.ANCHORARRAY(AB298),_xlfn.ANCHORARRAY(AF294))/SQRT(2)</f>
        <v>5.6568542494923797</v>
      </c>
      <c r="AG298" s="11">
        <v>5.6568542494923797</v>
      </c>
      <c r="AH298" s="11">
        <v>2.8284271247461898</v>
      </c>
      <c r="AI298" s="11">
        <v>7.0710678118654746</v>
      </c>
      <c r="AK298" s="47" cm="1">
        <f t="array" ref="AK298:AK301">EXP(AF298:AF301)/SUM(EXP(AF298:AF301))</f>
        <v>0.16201268683992606</v>
      </c>
      <c r="AL298" s="47" cm="1">
        <f t="array" ref="AL298:AL301">EXP(AG298:AG301)/SUM(EXP(AG298:AG301))</f>
        <v>0.13974804909294825</v>
      </c>
      <c r="AM298" s="47" cm="1">
        <f t="array" ref="AM298:AM301">EXP(AH298:AH301)/SUM(EXP(AH298:AH301))</f>
        <v>0.15732256840871345</v>
      </c>
      <c r="AN298" s="47" cm="1">
        <f t="array" ref="AN298:AN301">EXP(AI298:AI301)/SUM(EXP(AI298:AI301))</f>
        <v>0.10106809618647331</v>
      </c>
    </row>
    <row r="299" spans="13:40" ht="24" customHeight="1" x14ac:dyDescent="0.25">
      <c r="M299" s="41">
        <v>1</v>
      </c>
      <c r="N299" s="41">
        <v>0</v>
      </c>
      <c r="O299" s="2">
        <v>1</v>
      </c>
      <c r="P299" s="1"/>
      <c r="Q299" s="45">
        <v>2</v>
      </c>
      <c r="R299" s="45">
        <v>3</v>
      </c>
      <c r="S299" s="45">
        <v>0</v>
      </c>
      <c r="T299" s="45">
        <v>2</v>
      </c>
      <c r="U299" s="1"/>
      <c r="AA299" s="46" t="s">
        <v>58</v>
      </c>
      <c r="AB299" s="42">
        <v>1</v>
      </c>
      <c r="AC299" s="43">
        <v>3</v>
      </c>
      <c r="AF299" s="12">
        <v>5.6568542494923797</v>
      </c>
      <c r="AG299" s="12">
        <v>7.0710678118654746</v>
      </c>
      <c r="AH299" s="12">
        <v>1.4142135623730949</v>
      </c>
      <c r="AI299" s="12">
        <v>6.3639610306789276</v>
      </c>
      <c r="AK299" s="48">
        <v>0.16201268683992606</v>
      </c>
      <c r="AL299" s="48">
        <v>0.5748187158657444</v>
      </c>
      <c r="AM299" s="48">
        <v>3.824774908432968E-2</v>
      </c>
      <c r="AN299" s="48">
        <v>4.9833513928472642E-2</v>
      </c>
    </row>
    <row r="300" spans="13:40" ht="24" customHeight="1" x14ac:dyDescent="0.25">
      <c r="O300" s="1"/>
      <c r="P300" s="1"/>
      <c r="Q300" s="46" t="s">
        <v>57</v>
      </c>
      <c r="R300" s="46" t="s">
        <v>58</v>
      </c>
      <c r="S300" s="46" t="s">
        <v>61</v>
      </c>
      <c r="T300" s="46" t="s">
        <v>62</v>
      </c>
      <c r="U300" s="1"/>
      <c r="AA300" s="46" t="s">
        <v>61</v>
      </c>
      <c r="AB300" s="42">
        <v>2</v>
      </c>
      <c r="AC300" s="43">
        <v>0</v>
      </c>
      <c r="AF300" s="12">
        <v>2.8284271247461898</v>
      </c>
      <c r="AG300" s="12">
        <v>1.4142135623730949</v>
      </c>
      <c r="AH300" s="12">
        <v>2.8284271247461898</v>
      </c>
      <c r="AI300" s="12">
        <v>4.2426406871192848</v>
      </c>
      <c r="AK300" s="48">
        <v>9.5758808081822539E-3</v>
      </c>
      <c r="AL300" s="48">
        <v>2.0081230198925187E-3</v>
      </c>
      <c r="AM300" s="48">
        <v>0.15732256840871345</v>
      </c>
      <c r="AN300" s="48">
        <v>5.9737052786971081E-3</v>
      </c>
    </row>
    <row r="301" spans="13:40" ht="24" customHeight="1" x14ac:dyDescent="0.25">
      <c r="M301" s="41">
        <v>0</v>
      </c>
      <c r="N301" s="41">
        <v>1</v>
      </c>
      <c r="O301" s="2">
        <v>1</v>
      </c>
      <c r="P301" s="1"/>
      <c r="Q301" s="44" cm="1">
        <f t="array" ref="Q301:T302">MMULT(M301:O302,Q293:T295)</f>
        <v>2</v>
      </c>
      <c r="R301" s="44">
        <v>1</v>
      </c>
      <c r="S301" s="44">
        <v>2</v>
      </c>
      <c r="T301" s="44">
        <v>3</v>
      </c>
      <c r="U301" s="1"/>
      <c r="AA301" s="46" t="s">
        <v>62</v>
      </c>
      <c r="AB301" s="42">
        <v>3</v>
      </c>
      <c r="AC301" s="43">
        <v>2</v>
      </c>
      <c r="AF301" s="13">
        <v>7.0710678118654746</v>
      </c>
      <c r="AG301" s="13">
        <v>6.3639610306789276</v>
      </c>
      <c r="AH301" s="13">
        <v>4.2426406871192848</v>
      </c>
      <c r="AI301" s="13">
        <v>9.1923881554251174</v>
      </c>
      <c r="AK301" s="49">
        <v>0.66639874551196554</v>
      </c>
      <c r="AL301" s="49">
        <v>0.2834251120214149</v>
      </c>
      <c r="AM301" s="49">
        <v>0.64710711409824351</v>
      </c>
      <c r="AN301" s="49">
        <v>0.84312468460635703</v>
      </c>
    </row>
    <row r="302" spans="13:40" ht="24" customHeight="1" x14ac:dyDescent="0.25">
      <c r="M302" s="41">
        <v>1</v>
      </c>
      <c r="N302" s="41">
        <v>0</v>
      </c>
      <c r="O302" s="2">
        <v>1</v>
      </c>
      <c r="P302" s="1"/>
      <c r="Q302" s="45">
        <v>2</v>
      </c>
      <c r="R302" s="45">
        <v>3</v>
      </c>
      <c r="S302" s="45">
        <v>0</v>
      </c>
      <c r="T302" s="45">
        <v>2</v>
      </c>
      <c r="U302" s="1"/>
    </row>
    <row r="303" spans="13:40" ht="24" customHeight="1" x14ac:dyDescent="0.25">
      <c r="O303" s="1"/>
      <c r="P303" s="1"/>
      <c r="Q303" s="1" t="s">
        <v>65</v>
      </c>
      <c r="R303" s="1" t="s">
        <v>66</v>
      </c>
      <c r="S303" s="1" t="s">
        <v>67</v>
      </c>
      <c r="T303" s="1" t="s">
        <v>68</v>
      </c>
      <c r="U303" s="1"/>
      <c r="AA303" t="s">
        <v>64</v>
      </c>
      <c r="AB303" s="1" t="s">
        <v>65</v>
      </c>
      <c r="AC303" s="1" t="s">
        <v>66</v>
      </c>
      <c r="AD303" s="1" t="s">
        <v>67</v>
      </c>
      <c r="AE303" s="1" t="s">
        <v>68</v>
      </c>
    </row>
    <row r="304" spans="13:40" ht="24" customHeight="1" x14ac:dyDescent="0.25">
      <c r="M304" s="41">
        <v>0</v>
      </c>
      <c r="N304" s="41">
        <v>1</v>
      </c>
      <c r="O304" s="2">
        <v>-1</v>
      </c>
      <c r="P304" s="1"/>
      <c r="Q304" s="11" cm="1">
        <f t="array" ref="Q304:T306">MMULT(M304:O306,Q293:T295)</f>
        <v>0</v>
      </c>
      <c r="R304" s="11">
        <v>-1</v>
      </c>
      <c r="S304" s="11">
        <v>4</v>
      </c>
      <c r="T304" s="11">
        <v>-1</v>
      </c>
      <c r="U304" s="1"/>
      <c r="AB304" s="11" cm="1">
        <f t="array" ref="AB304:AE306">_xlfn.ANCHORARRAY(Q304)</f>
        <v>0</v>
      </c>
      <c r="AC304" s="11">
        <v>-1</v>
      </c>
      <c r="AD304" s="11">
        <v>4</v>
      </c>
      <c r="AE304" s="11">
        <v>-1</v>
      </c>
      <c r="AK304" s="33" cm="1">
        <f t="array" ref="AK304:AN306">MMULT(AB304:AE306,AK298:AN301)</f>
        <v>-0.79010790911916262</v>
      </c>
      <c r="AL304" s="33">
        <v>-0.85021133580758912</v>
      </c>
      <c r="AM304" s="33">
        <v>-5.6064589547719423E-2</v>
      </c>
      <c r="AN304" s="33">
        <v>-0.86906337742004125</v>
      </c>
    </row>
    <row r="305" spans="13:40" ht="24" customHeight="1" x14ac:dyDescent="0.25">
      <c r="M305" s="41">
        <v>1</v>
      </c>
      <c r="N305" s="41">
        <v>0</v>
      </c>
      <c r="O305" s="2">
        <v>0</v>
      </c>
      <c r="P305" s="1"/>
      <c r="Q305" s="12">
        <v>1</v>
      </c>
      <c r="R305" s="12">
        <v>2</v>
      </c>
      <c r="S305" s="12">
        <v>1</v>
      </c>
      <c r="T305" s="12">
        <v>0</v>
      </c>
      <c r="U305" s="1"/>
      <c r="AB305" s="12">
        <v>1</v>
      </c>
      <c r="AC305" s="12">
        <v>2</v>
      </c>
      <c r="AD305" s="12">
        <v>1</v>
      </c>
      <c r="AE305" s="12">
        <v>0</v>
      </c>
      <c r="AK305" s="34">
        <v>0.49561394132796044</v>
      </c>
      <c r="AL305" s="34">
        <v>1.2913936038443294</v>
      </c>
      <c r="AM305" s="34">
        <v>0.39114063498608626</v>
      </c>
      <c r="AN305" s="34">
        <v>0.20670882932211571</v>
      </c>
    </row>
    <row r="306" spans="13:40" ht="24" customHeight="1" x14ac:dyDescent="0.25">
      <c r="M306" s="41">
        <v>1</v>
      </c>
      <c r="N306" s="41">
        <v>0</v>
      </c>
      <c r="O306" s="2">
        <v>-1</v>
      </c>
      <c r="P306" s="1"/>
      <c r="Q306" s="13">
        <v>0</v>
      </c>
      <c r="R306" s="13">
        <v>1</v>
      </c>
      <c r="S306" s="13">
        <v>2</v>
      </c>
      <c r="T306" s="13">
        <v>-2</v>
      </c>
      <c r="U306" s="1"/>
      <c r="AB306" s="13">
        <v>0</v>
      </c>
      <c r="AC306" s="13">
        <v>1</v>
      </c>
      <c r="AD306" s="13">
        <v>2</v>
      </c>
      <c r="AE306" s="13">
        <v>-2</v>
      </c>
      <c r="AK306" s="35">
        <v>-1.1516330425676404</v>
      </c>
      <c r="AL306" s="35">
        <v>1.1984737862699602E-2</v>
      </c>
      <c r="AM306" s="35">
        <v>-0.94132134229473041</v>
      </c>
      <c r="AN306" s="35">
        <v>-1.6244684447268471</v>
      </c>
    </row>
    <row r="307" spans="13:40" ht="24" customHeight="1" x14ac:dyDescent="0.25">
      <c r="O307" s="1"/>
      <c r="P307" s="1"/>
      <c r="R307" s="1"/>
      <c r="S307" s="1"/>
      <c r="T307" s="1"/>
      <c r="W307" s="1"/>
      <c r="AK307" s="1" t="s">
        <v>70</v>
      </c>
      <c r="AL307" s="1" t="s">
        <v>71</v>
      </c>
      <c r="AM307" s="1" t="s">
        <v>72</v>
      </c>
      <c r="AN307" s="1" t="s">
        <v>73</v>
      </c>
    </row>
    <row r="310" spans="13:40" ht="24" customHeight="1" x14ac:dyDescent="0.25">
      <c r="P310" s="1"/>
      <c r="Q310" s="1"/>
      <c r="S310" s="1"/>
      <c r="T310" s="1"/>
      <c r="U310" s="1"/>
    </row>
    <row r="311" spans="13:40" ht="24" customHeight="1" x14ac:dyDescent="0.25">
      <c r="O311" s="1"/>
      <c r="Q311" t="s">
        <v>48</v>
      </c>
      <c r="T311" s="1"/>
      <c r="U311" s="1"/>
    </row>
    <row r="312" spans="13:40" ht="24" customHeight="1" x14ac:dyDescent="0.25">
      <c r="O312" s="1"/>
      <c r="T312" s="1"/>
      <c r="U312" s="1"/>
    </row>
    <row r="313" spans="13:40" ht="24" customHeight="1" x14ac:dyDescent="0.25">
      <c r="O313" s="1"/>
      <c r="Q313" s="1" t="s">
        <v>37</v>
      </c>
      <c r="R313" s="1" t="s">
        <v>38</v>
      </c>
      <c r="S313" s="1" t="s">
        <v>39</v>
      </c>
      <c r="T313" s="1" t="s">
        <v>40</v>
      </c>
      <c r="U313" s="1"/>
      <c r="Y313" s="1"/>
      <c r="Z313" s="1"/>
      <c r="AE313" t="s">
        <v>49</v>
      </c>
      <c r="AF313" s="1" t="s">
        <v>50</v>
      </c>
      <c r="AG313" s="1" t="s">
        <v>51</v>
      </c>
      <c r="AH313" s="1" t="s">
        <v>52</v>
      </c>
      <c r="AI313" s="1" t="s">
        <v>53</v>
      </c>
    </row>
    <row r="314" spans="13:40" ht="24" customHeight="1" x14ac:dyDescent="0.25">
      <c r="O314" s="1"/>
      <c r="Q314" s="8" cm="1">
        <f t="array" ref="Q314:T316">MMULT(AB304:AE306,AK298:AN301)</f>
        <v>-0.79010790911916262</v>
      </c>
      <c r="R314" s="8">
        <v>-0.85021133580758912</v>
      </c>
      <c r="S314" s="8">
        <v>-5.6064589547719423E-2</v>
      </c>
      <c r="T314" s="8">
        <v>-0.86906337742004125</v>
      </c>
      <c r="U314" s="1"/>
      <c r="Y314" s="1"/>
      <c r="Z314" s="1"/>
      <c r="AF314" s="44" cm="1">
        <f t="array" ref="AF314:AI315">_xlfn.ANCHORARRAY(Q319)</f>
        <v>-0.65601910123967999</v>
      </c>
      <c r="AG314" s="44">
        <v>1.303378341707029</v>
      </c>
      <c r="AH314" s="44">
        <v>-0.55018070730864421</v>
      </c>
      <c r="AI314" s="44">
        <v>-1.4177596154047314</v>
      </c>
    </row>
    <row r="315" spans="13:40" ht="24" customHeight="1" x14ac:dyDescent="0.25">
      <c r="O315" s="1"/>
      <c r="P315" s="1"/>
      <c r="Q315" s="9">
        <v>0.49561394132796044</v>
      </c>
      <c r="R315" s="9">
        <v>1.2913936038443294</v>
      </c>
      <c r="S315" s="9">
        <v>0.39114063498608626</v>
      </c>
      <c r="T315" s="9">
        <v>0.20670882932211571</v>
      </c>
      <c r="U315" s="1"/>
      <c r="Y315" s="1"/>
      <c r="Z315" s="1"/>
      <c r="AF315" s="45">
        <v>-1.9417409516868029</v>
      </c>
      <c r="AG315" s="45">
        <v>-0.83822659794488952</v>
      </c>
      <c r="AH315" s="45">
        <v>-0.99738593184244984</v>
      </c>
      <c r="AI315" s="45">
        <v>-2.4935318221468883</v>
      </c>
    </row>
    <row r="316" spans="13:40" ht="24" customHeight="1" x14ac:dyDescent="0.25">
      <c r="O316" s="1"/>
      <c r="P316" s="1"/>
      <c r="Q316" s="10">
        <v>-1.1516330425676404</v>
      </c>
      <c r="R316" s="10">
        <v>1.1984737862699602E-2</v>
      </c>
      <c r="S316" s="10">
        <v>-0.94132134229473041</v>
      </c>
      <c r="T316" s="10">
        <v>-1.6244684447268471</v>
      </c>
      <c r="U316" s="1"/>
      <c r="Y316" s="1"/>
      <c r="Z316" s="1"/>
      <c r="AG316" s="1"/>
      <c r="AH316" s="1"/>
      <c r="AI316" s="1"/>
    </row>
    <row r="317" spans="13:40" ht="24" customHeight="1" x14ac:dyDescent="0.25">
      <c r="U317" s="1"/>
      <c r="AA317" t="s">
        <v>60</v>
      </c>
    </row>
    <row r="318" spans="13:40" ht="24" customHeight="1" x14ac:dyDescent="0.25">
      <c r="O318" s="1"/>
      <c r="P318" s="1"/>
      <c r="Q318" s="1" t="s">
        <v>50</v>
      </c>
      <c r="R318" s="1" t="s">
        <v>51</v>
      </c>
      <c r="S318" s="1" t="s">
        <v>52</v>
      </c>
      <c r="T318" s="1" t="s">
        <v>53</v>
      </c>
      <c r="U318" s="1"/>
      <c r="AA318" s="46" t="s">
        <v>57</v>
      </c>
      <c r="AB318" s="42" cm="1">
        <f t="array" ref="AB318:AC323">TRANSPOSE(_xlfn.ANCHORARRAY(Q329))</f>
        <v>8.5906310707932398</v>
      </c>
      <c r="AC318" s="43">
        <v>-0.77718756911664411</v>
      </c>
      <c r="AF318" s="11" cm="1">
        <f t="array" ref="AF318:AI323">MMULT(_xlfn.ANCHORARRAY(AB318),_xlfn.ANCHORARRAY(AF314))</f>
        <v>-4.1265211440477447</v>
      </c>
      <c r="AG318" s="11">
        <v>11.848301771293077</v>
      </c>
      <c r="AH318" s="11">
        <v>-3.9512435309168676</v>
      </c>
      <c r="AI318" s="11">
        <v>-10.241507867642424</v>
      </c>
      <c r="AK318" s="11" cm="1">
        <f t="array" ref="AK318:AK323">EXP(AF318:AF323)/SUM(EXP(AF318:AF323))</f>
        <v>3.7232371009533097E-2</v>
      </c>
      <c r="AL318" s="11" cm="1">
        <f t="array" ref="AL318:AL323">EXP(AG318:AG323)/SUM(EXP(AG318:AG323))</f>
        <v>0.18211399518985855</v>
      </c>
      <c r="AM318" s="11" cm="1">
        <f t="array" ref="AM318:AM323">EXP(AH318:AH323)/SUM(EXP(AH318:AH323))</f>
        <v>8.1546688109655083E-2</v>
      </c>
      <c r="AN318" s="11" cm="1">
        <f t="array" ref="AN318:AN323">EXP(AI318:AI323)/SUM(EXP(AI318:AI323))</f>
        <v>1.215263707953392E-2</v>
      </c>
    </row>
    <row r="319" spans="13:40" ht="24" customHeight="1" x14ac:dyDescent="0.25">
      <c r="M319" s="41">
        <v>0</v>
      </c>
      <c r="N319" s="41">
        <v>1</v>
      </c>
      <c r="O319" s="2">
        <v>1</v>
      </c>
      <c r="P319" s="1"/>
      <c r="Q319" s="44" cm="1">
        <f t="array" ref="Q319:T320">MMULT(M319:O320,Q314:T316)</f>
        <v>-0.65601910123967999</v>
      </c>
      <c r="R319" s="44">
        <v>1.303378341707029</v>
      </c>
      <c r="S319" s="44">
        <v>-0.55018070730864421</v>
      </c>
      <c r="T319" s="44">
        <v>-1.4177596154047314</v>
      </c>
      <c r="U319" s="1"/>
      <c r="AA319" s="46" t="s">
        <v>58</v>
      </c>
      <c r="AB319" s="42">
        <v>8.5906310707932398</v>
      </c>
      <c r="AC319" s="43">
        <v>-0.77718756911664411</v>
      </c>
      <c r="AF319" s="12">
        <v>-4.1265211440477447</v>
      </c>
      <c r="AG319" s="12">
        <v>11.848301771293077</v>
      </c>
      <c r="AH319" s="12">
        <v>-3.9512435309168676</v>
      </c>
      <c r="AI319" s="12">
        <v>-10.241507867642424</v>
      </c>
      <c r="AK319" s="12">
        <v>3.7232371009533097E-2</v>
      </c>
      <c r="AL319" s="12">
        <v>0.18211399518985855</v>
      </c>
      <c r="AM319" s="12">
        <v>8.1546688109655083E-2</v>
      </c>
      <c r="AN319" s="12">
        <v>1.215263707953392E-2</v>
      </c>
    </row>
    <row r="320" spans="13:40" ht="24" customHeight="1" x14ac:dyDescent="0.25">
      <c r="M320" s="41">
        <v>1</v>
      </c>
      <c r="N320" s="41">
        <v>0</v>
      </c>
      <c r="O320" s="2">
        <v>1</v>
      </c>
      <c r="P320" s="1"/>
      <c r="Q320" s="45">
        <v>-1.9417409516868029</v>
      </c>
      <c r="R320" s="45">
        <v>-0.83822659794488952</v>
      </c>
      <c r="S320" s="45">
        <v>-0.99738593184244984</v>
      </c>
      <c r="T320" s="45">
        <v>-2.4935318221468883</v>
      </c>
      <c r="U320" s="1"/>
      <c r="AA320" s="46" t="s">
        <v>61</v>
      </c>
      <c r="AB320" s="42">
        <v>8</v>
      </c>
      <c r="AC320" s="43">
        <v>-1.401112092679786</v>
      </c>
      <c r="AF320" s="12">
        <v>-2.5275560816575044</v>
      </c>
      <c r="AG320" s="12">
        <v>11.601476156442654</v>
      </c>
      <c r="AH320" s="12">
        <v>-3.0039961682960001</v>
      </c>
      <c r="AI320" s="12">
        <v>-7.848359333745984</v>
      </c>
      <c r="AK320" s="12">
        <v>0.18422238348014272</v>
      </c>
      <c r="AL320" s="12">
        <v>0.14228146211515219</v>
      </c>
      <c r="AM320" s="12">
        <v>0.21027644695741671</v>
      </c>
      <c r="AN320" s="12">
        <v>0.13304597214409167</v>
      </c>
    </row>
    <row r="321" spans="13:40" ht="24" customHeight="1" x14ac:dyDescent="0.25">
      <c r="AA321" s="46" t="s">
        <v>62</v>
      </c>
      <c r="AB321" s="42">
        <v>8.3925683342370867</v>
      </c>
      <c r="AC321" s="43">
        <v>-1.026593382832615</v>
      </c>
      <c r="AF321" s="12">
        <v>-3.5123067235420358</v>
      </c>
      <c r="AG321" s="12">
        <v>11.799209676905376</v>
      </c>
      <c r="AH321" s="12">
        <v>-3.5935193845068896</v>
      </c>
      <c r="AI321" s="12">
        <v>-9.33880118530735</v>
      </c>
      <c r="AK321" s="12">
        <v>6.8813021417393164E-2</v>
      </c>
      <c r="AL321" s="12">
        <v>0.17338954073488627</v>
      </c>
      <c r="AM321" s="12">
        <v>0.11661755999484781</v>
      </c>
      <c r="AN321" s="12">
        <v>2.9971678092020098E-2</v>
      </c>
    </row>
    <row r="322" spans="13:40" ht="24" customHeight="1" x14ac:dyDescent="0.25">
      <c r="AA322" s="46" t="s">
        <v>97</v>
      </c>
      <c r="AB322" s="42">
        <v>7.6438643767655083</v>
      </c>
      <c r="AC322" s="43">
        <v>-1.9183132856414971</v>
      </c>
      <c r="AF322" s="12">
        <v>-1.2896535735487569</v>
      </c>
      <c r="AG322" s="12">
        <v>11.570828494837818</v>
      </c>
      <c r="AH322" s="12">
        <v>-2.2922080254149</v>
      </c>
      <c r="AI322" s="12">
        <v>-6.0537869964147673</v>
      </c>
      <c r="AK322" s="12">
        <v>0.63526748207386485</v>
      </c>
      <c r="AL322" s="12">
        <v>0.1379870115803859</v>
      </c>
      <c r="AM322" s="12">
        <v>0.42846592871877026</v>
      </c>
      <c r="AN322" s="12">
        <v>0.80052443852528643</v>
      </c>
    </row>
    <row r="323" spans="13:40" ht="24" customHeight="1" x14ac:dyDescent="0.25">
      <c r="Q323" t="s">
        <v>109</v>
      </c>
      <c r="U323" s="1"/>
      <c r="AA323" s="46" t="s">
        <v>98</v>
      </c>
      <c r="AB323" s="42">
        <v>8.5906310707932398</v>
      </c>
      <c r="AC323" s="43">
        <v>-0.77718756911664411</v>
      </c>
      <c r="AF323" s="13">
        <v>-4.1265211440477447</v>
      </c>
      <c r="AG323" s="13">
        <v>11.848301771293077</v>
      </c>
      <c r="AH323" s="13">
        <v>-3.9512435309168676</v>
      </c>
      <c r="AI323" s="13">
        <v>-10.241507867642424</v>
      </c>
      <c r="AK323" s="13">
        <v>3.7232371009533097E-2</v>
      </c>
      <c r="AL323" s="13">
        <v>0.18211399518985855</v>
      </c>
      <c r="AM323" s="13">
        <v>8.1546688109655083E-2</v>
      </c>
      <c r="AN323" s="13">
        <v>1.215263707953392E-2</v>
      </c>
    </row>
    <row r="324" spans="13:40" ht="24" customHeight="1" x14ac:dyDescent="0.25">
      <c r="Q324" s="1"/>
      <c r="R324" s="1"/>
      <c r="S324" s="1"/>
      <c r="T324" s="1"/>
      <c r="V324" s="1"/>
    </row>
    <row r="325" spans="13:40" ht="24" customHeight="1" x14ac:dyDescent="0.25">
      <c r="Q325" s="11" cm="1">
        <f t="array" ref="Q325:V327">_xlfn.MAP(_xlfn.ANCHORARRAY(Q264),_xlfn.LAMBDA(_xlpm.x, MAX(_xlpm.x,0)))</f>
        <v>3.5906310707932398</v>
      </c>
      <c r="R325" s="11">
        <v>3.5906310707932398</v>
      </c>
      <c r="S325" s="11">
        <v>3</v>
      </c>
      <c r="T325" s="11">
        <v>3.3925683342370876</v>
      </c>
      <c r="U325" s="11">
        <v>2.3284352056999196</v>
      </c>
      <c r="V325" s="11">
        <v>3.5906310707932398</v>
      </c>
      <c r="AA325" t="s">
        <v>64</v>
      </c>
      <c r="AB325" s="1" t="s">
        <v>65</v>
      </c>
      <c r="AC325" s="1" t="s">
        <v>66</v>
      </c>
      <c r="AD325" s="1" t="s">
        <v>67</v>
      </c>
      <c r="AE325" s="1" t="s">
        <v>68</v>
      </c>
      <c r="AF325" s="1" t="s">
        <v>99</v>
      </c>
      <c r="AG325" s="1" t="s">
        <v>100</v>
      </c>
    </row>
    <row r="326" spans="13:40" ht="24" customHeight="1" x14ac:dyDescent="0.25">
      <c r="Q326" s="12">
        <v>5</v>
      </c>
      <c r="R326" s="12">
        <v>5</v>
      </c>
      <c r="S326" s="12">
        <v>5</v>
      </c>
      <c r="T326" s="12">
        <v>5</v>
      </c>
      <c r="U326" s="12">
        <v>5.3154291710655883</v>
      </c>
      <c r="V326" s="12">
        <v>5</v>
      </c>
      <c r="AB326" s="11" cm="1">
        <f t="array" ref="AB326:AG328">_xlfn.ANCHORARRAY(Q332)</f>
        <v>4.3678186399098839</v>
      </c>
      <c r="AC326" s="11">
        <v>4.3678186399098839</v>
      </c>
      <c r="AD326" s="11">
        <v>4.401112092679786</v>
      </c>
      <c r="AE326" s="11">
        <v>4.4191617170697022</v>
      </c>
      <c r="AF326" s="11">
        <v>4.2467484913414166</v>
      </c>
      <c r="AG326" s="11">
        <v>4.3678186399098839</v>
      </c>
      <c r="AK326" s="33" cm="1">
        <f t="array" ref="AK326:AN328">MMULT(_xlfn.ANCHORARRAY(AB326),AK318:AN323)</f>
        <v>4.3005731829662732</v>
      </c>
      <c r="AL326" s="33">
        <v>4.3647519256249483</v>
      </c>
      <c r="AM326" s="33">
        <v>4.3289325395997817</v>
      </c>
      <c r="AN326" s="33">
        <v>4.2768674251756318</v>
      </c>
    </row>
    <row r="327" spans="13:40" ht="24" customHeight="1" x14ac:dyDescent="0.25">
      <c r="Q327" s="13">
        <v>0.63218136009011605</v>
      </c>
      <c r="R327" s="13">
        <v>0.63218136009011605</v>
      </c>
      <c r="S327" s="13">
        <v>0.59888790732021402</v>
      </c>
      <c r="T327" s="13">
        <v>0.58083828293029738</v>
      </c>
      <c r="U327" s="13">
        <v>1.0686806797241717</v>
      </c>
      <c r="V327" s="13">
        <v>0.63218136009011605</v>
      </c>
      <c r="AB327" s="12">
        <v>-1.4093689292067602</v>
      </c>
      <c r="AC327" s="12">
        <v>-1.4093689292067602</v>
      </c>
      <c r="AD327" s="12">
        <v>-2</v>
      </c>
      <c r="AE327" s="12">
        <v>-1.6074316657629124</v>
      </c>
      <c r="AF327" s="12">
        <v>-2.9869939653656687</v>
      </c>
      <c r="AG327" s="12">
        <v>-1.4093689292067602</v>
      </c>
      <c r="AK327" s="34">
        <v>-2.5340195725357058</v>
      </c>
      <c r="AL327" s="34">
        <v>-1.7454385525919927</v>
      </c>
      <c r="AM327" s="34">
        <v>-2.2326209015867082</v>
      </c>
      <c r="AN327" s="34">
        <v>-2.7568136830555829</v>
      </c>
    </row>
    <row r="328" spans="13:40" ht="24" customHeight="1" x14ac:dyDescent="0.25">
      <c r="Q328" s="46" t="s">
        <v>57</v>
      </c>
      <c r="R328" s="46" t="s">
        <v>58</v>
      </c>
      <c r="S328" s="46" t="s">
        <v>61</v>
      </c>
      <c r="T328" s="46" t="s">
        <v>62</v>
      </c>
      <c r="U328" s="46" t="s">
        <v>97</v>
      </c>
      <c r="V328" s="46" t="s">
        <v>98</v>
      </c>
      <c r="AB328" s="13">
        <v>2.9584497107031238</v>
      </c>
      <c r="AC328" s="13">
        <v>2.9584497107031238</v>
      </c>
      <c r="AD328" s="13">
        <v>2.401112092679786</v>
      </c>
      <c r="AE328" s="13">
        <v>2.8117300513067902</v>
      </c>
      <c r="AF328" s="13">
        <v>1.2597545259757479</v>
      </c>
      <c r="AG328" s="13">
        <v>2.9584497107031238</v>
      </c>
      <c r="AK328" s="35">
        <v>1.7665536104305677</v>
      </c>
      <c r="AL328" s="35">
        <v>2.6193133730329556</v>
      </c>
      <c r="AM328" s="35">
        <v>2.0963116380130726</v>
      </c>
      <c r="AN328" s="35">
        <v>1.5200537421200484</v>
      </c>
    </row>
    <row r="329" spans="13:40" ht="24" customHeight="1" x14ac:dyDescent="0.25">
      <c r="M329" s="41">
        <v>1</v>
      </c>
      <c r="N329" s="41">
        <v>1</v>
      </c>
      <c r="O329" s="2">
        <v>0</v>
      </c>
      <c r="P329" s="1"/>
      <c r="Q329" s="44" cm="1">
        <f t="array" ref="Q329:V330">MMULT(M329:O330,Q325:V327)</f>
        <v>8.5906310707932398</v>
      </c>
      <c r="R329" s="44">
        <v>8.5906310707932398</v>
      </c>
      <c r="S329" s="44">
        <v>8</v>
      </c>
      <c r="T329" s="44">
        <v>8.3925683342370867</v>
      </c>
      <c r="U329" s="44">
        <v>7.6438643767655083</v>
      </c>
      <c r="V329" s="44">
        <v>8.5906310707932398</v>
      </c>
      <c r="AK329" s="1" t="s">
        <v>70</v>
      </c>
      <c r="AL329" s="1" t="s">
        <v>71</v>
      </c>
      <c r="AM329" s="1" t="s">
        <v>72</v>
      </c>
      <c r="AN329" s="1" t="s">
        <v>73</v>
      </c>
    </row>
    <row r="330" spans="13:40" ht="24" customHeight="1" x14ac:dyDescent="0.25">
      <c r="M330" s="41">
        <v>1</v>
      </c>
      <c r="N330" s="41">
        <v>-1</v>
      </c>
      <c r="O330" s="2">
        <v>1</v>
      </c>
      <c r="P330" s="1"/>
      <c r="Q330" s="45">
        <v>-0.77718756911664411</v>
      </c>
      <c r="R330" s="45">
        <v>-0.77718756911664411</v>
      </c>
      <c r="S330" s="45">
        <v>-1.401112092679786</v>
      </c>
      <c r="T330" s="45">
        <v>-1.026593382832615</v>
      </c>
      <c r="U330" s="45">
        <v>-1.9183132856414971</v>
      </c>
      <c r="V330" s="45">
        <v>-0.77718756911664411</v>
      </c>
    </row>
    <row r="331" spans="13:40" ht="24" customHeight="1" x14ac:dyDescent="0.25">
      <c r="O331" s="1"/>
      <c r="P331" s="1"/>
      <c r="Q331" s="46" t="s">
        <v>65</v>
      </c>
      <c r="R331" s="46" t="s">
        <v>66</v>
      </c>
      <c r="S331" s="46" t="s">
        <v>67</v>
      </c>
      <c r="T331" s="46" t="s">
        <v>68</v>
      </c>
      <c r="U331" s="46" t="s">
        <v>99</v>
      </c>
      <c r="V331" s="46" t="s">
        <v>100</v>
      </c>
    </row>
    <row r="332" spans="13:40" ht="24" customHeight="1" x14ac:dyDescent="0.25">
      <c r="M332" s="41">
        <v>0</v>
      </c>
      <c r="N332" s="41">
        <v>1</v>
      </c>
      <c r="O332" s="2">
        <v>-1</v>
      </c>
      <c r="P332" s="1"/>
      <c r="Q332" s="11" cm="1">
        <f t="array" ref="Q332:V334">MMULT(M332:O334,Q325:V327)</f>
        <v>4.3678186399098839</v>
      </c>
      <c r="R332" s="11">
        <v>4.3678186399098839</v>
      </c>
      <c r="S332" s="11">
        <v>4.401112092679786</v>
      </c>
      <c r="T332" s="11">
        <v>4.4191617170697022</v>
      </c>
      <c r="U332" s="11">
        <v>4.2467484913414166</v>
      </c>
      <c r="V332" s="11">
        <v>4.3678186399098839</v>
      </c>
    </row>
    <row r="333" spans="13:40" ht="24" customHeight="1" x14ac:dyDescent="0.25">
      <c r="M333" s="41">
        <v>1</v>
      </c>
      <c r="N333" s="41">
        <v>-1</v>
      </c>
      <c r="O333" s="2">
        <v>0</v>
      </c>
      <c r="P333" s="1"/>
      <c r="Q333" s="12">
        <v>-1.4093689292067602</v>
      </c>
      <c r="R333" s="12">
        <v>-1.4093689292067602</v>
      </c>
      <c r="S333" s="12">
        <v>-2</v>
      </c>
      <c r="T333" s="12">
        <v>-1.6074316657629124</v>
      </c>
      <c r="U333" s="12">
        <v>-2.9869939653656687</v>
      </c>
      <c r="V333" s="12">
        <v>-1.4093689292067602</v>
      </c>
    </row>
    <row r="334" spans="13:40" ht="24" customHeight="1" x14ac:dyDescent="0.25">
      <c r="M334" s="41">
        <v>1</v>
      </c>
      <c r="N334" s="41">
        <v>0</v>
      </c>
      <c r="O334" s="2">
        <v>-1</v>
      </c>
      <c r="P334" s="1"/>
      <c r="Q334" s="13">
        <v>2.9584497107031238</v>
      </c>
      <c r="R334" s="13">
        <v>2.9584497107031238</v>
      </c>
      <c r="S334" s="13">
        <v>2.401112092679786</v>
      </c>
      <c r="T334" s="13">
        <v>2.8117300513067902</v>
      </c>
      <c r="U334" s="13">
        <v>1.2597545259757479</v>
      </c>
      <c r="V334" s="13">
        <v>2.9584497107031238</v>
      </c>
    </row>
    <row r="339" spans="11:20" ht="24" customHeight="1" x14ac:dyDescent="0.25">
      <c r="Q339" s="1" t="s">
        <v>37</v>
      </c>
      <c r="R339" s="1" t="s">
        <v>38</v>
      </c>
      <c r="S339" s="1" t="s">
        <v>39</v>
      </c>
      <c r="T339" s="1" t="s">
        <v>40</v>
      </c>
    </row>
    <row r="340" spans="11:20" ht="24" customHeight="1" x14ac:dyDescent="0.25">
      <c r="Q340" s="28" cm="1">
        <f t="array" ref="Q340:T342">MMULT(_xlfn.ANCHORARRAY(AB326),AK318:AN323)</f>
        <v>4.3005731829662732</v>
      </c>
      <c r="R340" s="28">
        <v>4.3647519256249483</v>
      </c>
      <c r="S340" s="28">
        <v>4.3289325395997817</v>
      </c>
      <c r="T340" s="28">
        <v>4.2768674251756318</v>
      </c>
    </row>
    <row r="341" spans="11:20" ht="24" customHeight="1" x14ac:dyDescent="0.25">
      <c r="Q341" s="30">
        <v>-2.5340195725357058</v>
      </c>
      <c r="R341" s="30">
        <v>-1.7454385525919927</v>
      </c>
      <c r="S341" s="30">
        <v>-2.2326209015867082</v>
      </c>
      <c r="T341" s="30">
        <v>-2.7568136830555829</v>
      </c>
    </row>
    <row r="342" spans="11:20" ht="24" customHeight="1" x14ac:dyDescent="0.25">
      <c r="Q342" s="29">
        <v>1.7665536104305677</v>
      </c>
      <c r="R342" s="29">
        <v>2.6193133730329556</v>
      </c>
      <c r="S342" s="29">
        <v>2.0963116380130726</v>
      </c>
      <c r="T342" s="29">
        <v>1.5200537421200484</v>
      </c>
    </row>
    <row r="343" spans="11:20" ht="24" customHeight="1" x14ac:dyDescent="0.25">
      <c r="Q343" s="1">
        <v>1</v>
      </c>
      <c r="R343" s="1">
        <v>1</v>
      </c>
      <c r="S343" s="1">
        <v>1</v>
      </c>
      <c r="T343" s="1">
        <v>1</v>
      </c>
    </row>
    <row r="345" spans="11:20" ht="24" customHeight="1" x14ac:dyDescent="0.25">
      <c r="L345" s="1" t="s">
        <v>24</v>
      </c>
      <c r="M345" s="1"/>
      <c r="N345" s="1"/>
      <c r="O345" s="1" t="s">
        <v>25</v>
      </c>
      <c r="P345" s="1"/>
      <c r="Q345" s="1"/>
      <c r="S345" s="1"/>
      <c r="T345" s="1"/>
    </row>
    <row r="346" spans="11:20" ht="24" customHeight="1" x14ac:dyDescent="0.25">
      <c r="L346" s="2">
        <v>1</v>
      </c>
      <c r="M346" s="2">
        <v>-1</v>
      </c>
      <c r="N346" s="2">
        <v>1</v>
      </c>
      <c r="O346" s="14">
        <v>1</v>
      </c>
      <c r="P346" s="1"/>
      <c r="Q346" s="11" cm="1">
        <f t="array" ref="Q346:T349">MMULT(L346:O349,Q340:T343)</f>
        <v>9.6011463659325464</v>
      </c>
      <c r="R346" s="11">
        <v>9.7295038512498966</v>
      </c>
      <c r="S346" s="11">
        <v>9.6578650791995635</v>
      </c>
      <c r="T346" s="11">
        <v>9.5537348503512636</v>
      </c>
    </row>
    <row r="347" spans="11:20" ht="24" customHeight="1" x14ac:dyDescent="0.25">
      <c r="L347" s="2">
        <v>1</v>
      </c>
      <c r="M347" s="2">
        <v>0</v>
      </c>
      <c r="N347" s="2">
        <v>2</v>
      </c>
      <c r="O347" s="14">
        <v>-3</v>
      </c>
      <c r="P347" s="1"/>
      <c r="Q347" s="12">
        <v>4.8336804038274082</v>
      </c>
      <c r="R347" s="12">
        <v>6.6033786716908587</v>
      </c>
      <c r="S347" s="12">
        <v>5.521555815625927</v>
      </c>
      <c r="T347" s="12">
        <v>4.3169749094157286</v>
      </c>
    </row>
    <row r="348" spans="11:20" ht="24" customHeight="1" x14ac:dyDescent="0.25">
      <c r="L348" s="2">
        <v>0</v>
      </c>
      <c r="M348" s="2">
        <v>-1</v>
      </c>
      <c r="N348" s="2">
        <v>1</v>
      </c>
      <c r="O348" s="14">
        <v>2</v>
      </c>
      <c r="P348" s="1"/>
      <c r="Q348" s="12">
        <v>6.3005731829662732</v>
      </c>
      <c r="R348" s="12">
        <v>6.3647519256249483</v>
      </c>
      <c r="S348" s="12">
        <v>6.3289325395997809</v>
      </c>
      <c r="T348" s="12">
        <v>6.2768674251756309</v>
      </c>
    </row>
    <row r="349" spans="11:20" ht="24" customHeight="1" x14ac:dyDescent="0.25">
      <c r="L349" s="2">
        <v>0</v>
      </c>
      <c r="M349" s="2">
        <v>0</v>
      </c>
      <c r="N349" s="2">
        <v>-1</v>
      </c>
      <c r="O349" s="14">
        <v>0</v>
      </c>
      <c r="P349" s="1"/>
      <c r="Q349" s="13">
        <v>-1.7665536104305677</v>
      </c>
      <c r="R349" s="13">
        <v>-2.6193133730329556</v>
      </c>
      <c r="S349" s="13">
        <v>-2.0963116380130726</v>
      </c>
      <c r="T349" s="13">
        <v>-1.5200537421200484</v>
      </c>
    </row>
    <row r="350" spans="11:20" ht="24" customHeight="1" x14ac:dyDescent="0.25">
      <c r="K350" s="1"/>
      <c r="L350" s="1"/>
      <c r="M350" s="1"/>
      <c r="N350" s="1"/>
      <c r="O350" s="1"/>
      <c r="P350" s="1"/>
      <c r="Q350" s="1"/>
      <c r="S350" s="1"/>
      <c r="T350" s="1"/>
    </row>
    <row r="351" spans="11:20" ht="24" customHeight="1" x14ac:dyDescent="0.25">
      <c r="K351" s="1"/>
      <c r="L351" s="1"/>
      <c r="M351" t="s">
        <v>27</v>
      </c>
      <c r="N351" s="1"/>
      <c r="O351" s="1"/>
      <c r="P351" s="1"/>
      <c r="Q351" s="11" cm="1">
        <f t="array" ref="Q351:T354">_xlfn.MAP(_xlfn.ANCHORARRAY(Q346),_xlfn.LAMBDA(_xlpm.x, MAX(_xlpm.x,0)))</f>
        <v>9.6011463659325464</v>
      </c>
      <c r="R351" s="11">
        <v>9.7295038512498966</v>
      </c>
      <c r="S351" s="11">
        <v>9.6578650791995635</v>
      </c>
      <c r="T351" s="11">
        <v>9.5537348503512636</v>
      </c>
    </row>
    <row r="352" spans="11:20" ht="24" customHeight="1" x14ac:dyDescent="0.25">
      <c r="K352" s="1"/>
      <c r="L352" s="1"/>
      <c r="M352" s="1"/>
      <c r="N352" s="1"/>
      <c r="O352" s="1"/>
      <c r="P352" s="1"/>
      <c r="Q352" s="12">
        <v>4.8336804038274082</v>
      </c>
      <c r="R352" s="12">
        <v>6.6033786716908587</v>
      </c>
      <c r="S352" s="12">
        <v>5.521555815625927</v>
      </c>
      <c r="T352" s="12">
        <v>4.3169749094157286</v>
      </c>
    </row>
    <row r="353" spans="11:20" ht="24" customHeight="1" x14ac:dyDescent="0.25">
      <c r="K353" s="1"/>
      <c r="L353" s="1"/>
      <c r="M353" s="1"/>
      <c r="N353" s="1"/>
      <c r="O353" s="1"/>
      <c r="P353" s="1"/>
      <c r="Q353" s="12">
        <v>6.3005731829662732</v>
      </c>
      <c r="R353" s="12">
        <v>6.3647519256249483</v>
      </c>
      <c r="S353" s="12">
        <v>6.3289325395997809</v>
      </c>
      <c r="T353" s="12">
        <v>6.2768674251756309</v>
      </c>
    </row>
    <row r="354" spans="11:20" ht="24" customHeight="1" x14ac:dyDescent="0.25">
      <c r="K354" s="1"/>
      <c r="L354" s="1"/>
      <c r="M354" s="1"/>
      <c r="N354" s="1"/>
      <c r="O354" s="1"/>
      <c r="P354" s="1"/>
      <c r="Q354" s="13">
        <v>0</v>
      </c>
      <c r="R354" s="13">
        <v>0</v>
      </c>
      <c r="S354" s="13">
        <v>0</v>
      </c>
      <c r="T354" s="13">
        <v>0</v>
      </c>
    </row>
    <row r="355" spans="11:20" ht="24" customHeight="1" x14ac:dyDescent="0.25">
      <c r="K355" s="3" t="s">
        <v>23</v>
      </c>
      <c r="L355" s="1"/>
      <c r="M355" s="1"/>
      <c r="N355" s="1"/>
      <c r="O355" s="1"/>
      <c r="P355" s="1"/>
      <c r="Q355" s="1">
        <v>1</v>
      </c>
      <c r="R355" s="1">
        <v>1</v>
      </c>
      <c r="S355" s="1">
        <v>1</v>
      </c>
      <c r="T355" s="1">
        <v>1</v>
      </c>
    </row>
    <row r="356" spans="11:20" ht="24" customHeight="1" x14ac:dyDescent="0.25">
      <c r="K356" s="1" t="s">
        <v>24</v>
      </c>
      <c r="L356" s="1"/>
      <c r="M356" s="1"/>
      <c r="N356" s="1"/>
      <c r="O356" s="1" t="s">
        <v>25</v>
      </c>
      <c r="P356" s="3"/>
      <c r="Q356" s="1"/>
      <c r="S356" s="3"/>
      <c r="T356" s="1"/>
    </row>
    <row r="357" spans="11:20" ht="24" customHeight="1" x14ac:dyDescent="0.25">
      <c r="K357" s="2">
        <v>1</v>
      </c>
      <c r="L357" s="2">
        <v>-1</v>
      </c>
      <c r="M357" s="2">
        <v>-1</v>
      </c>
      <c r="N357" s="2">
        <v>0</v>
      </c>
      <c r="O357" s="14">
        <v>1</v>
      </c>
      <c r="Q357" s="11" cm="1">
        <f t="array" ref="Q357:T359">MMULT($K357:$O359,Q351:T355)</f>
        <v>-0.53310722086113493</v>
      </c>
      <c r="R357" s="11">
        <v>-2.2386267460659104</v>
      </c>
      <c r="S357" s="11">
        <v>-1.1926232760261444</v>
      </c>
      <c r="T357" s="11">
        <v>-4.0107484240095914E-2</v>
      </c>
    </row>
    <row r="358" spans="11:20" ht="24" customHeight="1" x14ac:dyDescent="0.25">
      <c r="K358" s="2">
        <v>0</v>
      </c>
      <c r="L358" s="2">
        <v>1</v>
      </c>
      <c r="M358" s="2">
        <v>0</v>
      </c>
      <c r="N358" s="2">
        <v>1</v>
      </c>
      <c r="O358" s="14">
        <v>3</v>
      </c>
      <c r="Q358" s="12">
        <v>7.8336804038274082</v>
      </c>
      <c r="R358" s="12">
        <v>9.6033786716908587</v>
      </c>
      <c r="S358" s="12">
        <v>8.521555815625927</v>
      </c>
      <c r="T358" s="12">
        <v>7.3169749094157286</v>
      </c>
    </row>
    <row r="359" spans="11:20" ht="24" customHeight="1" x14ac:dyDescent="0.25">
      <c r="K359" s="2">
        <v>0</v>
      </c>
      <c r="L359" s="2">
        <v>0</v>
      </c>
      <c r="M359" s="2">
        <v>1</v>
      </c>
      <c r="N359" s="2">
        <v>-1</v>
      </c>
      <c r="O359" s="14">
        <v>-3</v>
      </c>
      <c r="Q359" s="13">
        <v>3.3005731829662732</v>
      </c>
      <c r="R359" s="13">
        <v>3.3647519256249483</v>
      </c>
      <c r="S359" s="13">
        <v>3.3289325395997809</v>
      </c>
      <c r="T359" s="13">
        <v>3.2768674251756309</v>
      </c>
    </row>
    <row r="361" spans="11:20" ht="24" customHeight="1" x14ac:dyDescent="0.25">
      <c r="M361" t="s">
        <v>27</v>
      </c>
      <c r="Q361" s="11" cm="1">
        <f t="array" ref="Q361:T363">_xlfn.MAP(_xlfn.ANCHORARRAY(Q357),_xlfn.LAMBDA(_xlpm.x, MAX(_xlpm.x,0)))</f>
        <v>0</v>
      </c>
      <c r="R361" s="11">
        <v>0</v>
      </c>
      <c r="S361" s="11">
        <v>0</v>
      </c>
      <c r="T361" s="11">
        <v>0</v>
      </c>
    </row>
    <row r="362" spans="11:20" ht="24" customHeight="1" x14ac:dyDescent="0.25">
      <c r="Q362" s="12">
        <v>7.8336804038274082</v>
      </c>
      <c r="R362" s="12">
        <v>9.6033786716908587</v>
      </c>
      <c r="S362" s="12">
        <v>8.521555815625927</v>
      </c>
      <c r="T362" s="12">
        <v>7.3169749094157286</v>
      </c>
    </row>
    <row r="363" spans="11:20" ht="24" customHeight="1" x14ac:dyDescent="0.25">
      <c r="P363" s="27"/>
      <c r="Q363" s="13">
        <v>3.3005731829662732</v>
      </c>
      <c r="R363" s="13">
        <v>3.3647519256249483</v>
      </c>
      <c r="S363" s="13">
        <v>3.3289325395997809</v>
      </c>
      <c r="T363" s="13">
        <v>3.2768674251756309</v>
      </c>
    </row>
    <row r="364" spans="11:20" ht="24" customHeight="1" x14ac:dyDescent="0.25">
      <c r="Q364" s="1"/>
      <c r="R364" s="1"/>
      <c r="S364" s="1"/>
      <c r="T364" s="1"/>
    </row>
    <row r="367" spans="11:20" ht="24" customHeight="1" x14ac:dyDescent="0.25">
      <c r="M367" t="s">
        <v>110</v>
      </c>
      <c r="Q367" s="11" cm="1">
        <f t="array" ref="Q367:T369">_xlfn.MAP(_xlfn.ANCHORARRAY(Q357),_xlfn.LAMBDA(_xlpm.x, MAX(_xlpm.x,0)))</f>
        <v>0</v>
      </c>
      <c r="R367" s="11">
        <v>0</v>
      </c>
      <c r="S367" s="11">
        <v>0</v>
      </c>
      <c r="T367" s="11">
        <v>0</v>
      </c>
    </row>
    <row r="368" spans="11:20" ht="24" customHeight="1" x14ac:dyDescent="0.25">
      <c r="Q368" s="12">
        <v>7.8336804038274082</v>
      </c>
      <c r="R368" s="12">
        <v>9.6033786716908587</v>
      </c>
      <c r="S368" s="12">
        <v>8.521555815625927</v>
      </c>
      <c r="T368" s="12">
        <v>7.3169749094157286</v>
      </c>
    </row>
    <row r="369" spans="1:20" ht="24" customHeight="1" x14ac:dyDescent="0.25">
      <c r="Q369" s="13">
        <v>3.3005731829662732</v>
      </c>
      <c r="R369" s="13">
        <v>3.3647519256249483</v>
      </c>
      <c r="S369" s="13">
        <v>3.3289325395997809</v>
      </c>
      <c r="T369" s="13">
        <v>3.2768674251756309</v>
      </c>
    </row>
    <row r="370" spans="1:20" ht="24" customHeight="1" x14ac:dyDescent="0.25">
      <c r="Q370" s="1">
        <v>1</v>
      </c>
      <c r="R370" s="1">
        <v>1</v>
      </c>
      <c r="S370" s="1">
        <v>1</v>
      </c>
      <c r="T370" s="1">
        <v>1</v>
      </c>
    </row>
    <row r="371" spans="1:20" ht="24" customHeight="1" x14ac:dyDescent="0.25">
      <c r="Q371" s="1"/>
      <c r="R371" s="1"/>
      <c r="S371" s="1"/>
      <c r="T371" s="1"/>
    </row>
    <row r="372" spans="1:20" ht="24" customHeight="1" x14ac:dyDescent="0.25">
      <c r="J372" s="1"/>
      <c r="K372" s="1"/>
      <c r="L372" s="1"/>
      <c r="M372" s="1"/>
    </row>
    <row r="373" spans="1:20" s="5" customFormat="1" ht="24" customHeight="1" x14ac:dyDescent="0.35">
      <c r="A373" s="4" t="s">
        <v>111</v>
      </c>
    </row>
    <row r="374" spans="1:20" ht="24" customHeight="1" x14ac:dyDescent="0.25">
      <c r="J374" s="1"/>
      <c r="K374" s="1"/>
      <c r="L374" s="1"/>
      <c r="M374" s="1"/>
    </row>
    <row r="375" spans="1:20" ht="24" customHeight="1" x14ac:dyDescent="0.25">
      <c r="J375" t="s">
        <v>23</v>
      </c>
    </row>
    <row r="376" spans="1:20" ht="24" customHeight="1" x14ac:dyDescent="0.25">
      <c r="L376" s="2">
        <v>-1</v>
      </c>
      <c r="M376" s="2">
        <v>0</v>
      </c>
      <c r="N376" s="2">
        <v>1</v>
      </c>
      <c r="O376" s="14">
        <v>0</v>
      </c>
      <c r="Q376" s="67" cm="1">
        <f t="array" ref="Q376:T385">MMULT(L376:O385,Q367:T370)</f>
        <v>3.3005731829662732</v>
      </c>
      <c r="R376" s="67">
        <v>3.3647519256249483</v>
      </c>
      <c r="S376" s="67">
        <v>3.3289325395997809</v>
      </c>
      <c r="T376" s="67">
        <v>3.2768674251756309</v>
      </c>
    </row>
    <row r="377" spans="1:20" ht="24" customHeight="1" x14ac:dyDescent="0.25">
      <c r="L377" s="2">
        <v>1</v>
      </c>
      <c r="M377" s="2">
        <v>0</v>
      </c>
      <c r="N377" s="2">
        <v>1</v>
      </c>
      <c r="O377" s="14">
        <v>2</v>
      </c>
      <c r="Q377" s="68">
        <v>5.3005731829662732</v>
      </c>
      <c r="R377" s="68">
        <v>5.3647519256249483</v>
      </c>
      <c r="S377" s="68">
        <v>5.3289325395997809</v>
      </c>
      <c r="T377" s="68">
        <v>5.2768674251756309</v>
      </c>
    </row>
    <row r="378" spans="1:20" ht="24" customHeight="1" x14ac:dyDescent="0.25">
      <c r="L378" s="2">
        <v>0</v>
      </c>
      <c r="M378" s="2">
        <v>1</v>
      </c>
      <c r="N378" s="2">
        <v>-1</v>
      </c>
      <c r="O378" s="14">
        <v>-2</v>
      </c>
      <c r="Q378" s="68">
        <v>2.5331072208611349</v>
      </c>
      <c r="R378" s="68">
        <v>4.2386267460659104</v>
      </c>
      <c r="S378" s="68">
        <v>3.1926232760261462</v>
      </c>
      <c r="T378" s="68">
        <v>2.0401074842400977</v>
      </c>
    </row>
    <row r="379" spans="1:20" ht="24" customHeight="1" x14ac:dyDescent="0.25">
      <c r="L379" s="2">
        <v>1</v>
      </c>
      <c r="M379" s="2">
        <v>1</v>
      </c>
      <c r="N379" s="2">
        <v>0</v>
      </c>
      <c r="O379" s="14">
        <v>-2</v>
      </c>
      <c r="Q379" s="68">
        <v>5.8336804038274082</v>
      </c>
      <c r="R379" s="68">
        <v>7.6033786716908587</v>
      </c>
      <c r="S379" s="68">
        <v>6.521555815625927</v>
      </c>
      <c r="T379" s="68">
        <v>5.3169749094157286</v>
      </c>
    </row>
    <row r="380" spans="1:20" ht="24" customHeight="1" x14ac:dyDescent="0.25">
      <c r="L380" s="2">
        <v>1</v>
      </c>
      <c r="M380" s="2">
        <v>0</v>
      </c>
      <c r="N380" s="2">
        <v>1</v>
      </c>
      <c r="O380" s="14">
        <v>1</v>
      </c>
      <c r="Q380" s="68">
        <v>4.3005731829662732</v>
      </c>
      <c r="R380" s="68">
        <v>4.3647519256249483</v>
      </c>
      <c r="S380" s="68">
        <v>4.3289325395997809</v>
      </c>
      <c r="T380" s="68">
        <v>4.2768674251756309</v>
      </c>
    </row>
    <row r="381" spans="1:20" ht="24" customHeight="1" x14ac:dyDescent="0.25">
      <c r="L381" s="2">
        <v>0</v>
      </c>
      <c r="M381" s="2">
        <v>1</v>
      </c>
      <c r="N381" s="2">
        <v>-1</v>
      </c>
      <c r="O381" s="14">
        <v>-2</v>
      </c>
      <c r="Q381" s="68">
        <v>2.5331072208611349</v>
      </c>
      <c r="R381" s="68">
        <v>4.2386267460659104</v>
      </c>
      <c r="S381" s="68">
        <v>3.1926232760261462</v>
      </c>
      <c r="T381" s="68">
        <v>2.0401074842400977</v>
      </c>
    </row>
    <row r="382" spans="1:20" ht="24" customHeight="1" x14ac:dyDescent="0.25">
      <c r="L382" s="2">
        <v>-1</v>
      </c>
      <c r="M382" s="2">
        <v>0</v>
      </c>
      <c r="N382" s="2">
        <v>1</v>
      </c>
      <c r="O382" s="14">
        <v>3</v>
      </c>
      <c r="Q382" s="68">
        <v>6.3005731829662732</v>
      </c>
      <c r="R382" s="68">
        <v>6.3647519256249483</v>
      </c>
      <c r="S382" s="68">
        <v>6.3289325395997809</v>
      </c>
      <c r="T382" s="68">
        <v>6.2768674251756309</v>
      </c>
    </row>
    <row r="383" spans="1:20" ht="24" customHeight="1" x14ac:dyDescent="0.25">
      <c r="L383" s="2">
        <v>1</v>
      </c>
      <c r="M383" s="2">
        <v>1</v>
      </c>
      <c r="N383" s="2">
        <v>0</v>
      </c>
      <c r="O383" s="14">
        <v>-2</v>
      </c>
      <c r="Q383" s="68">
        <v>5.8336804038274082</v>
      </c>
      <c r="R383" s="68">
        <v>7.6033786716908587</v>
      </c>
      <c r="S383" s="68">
        <v>6.521555815625927</v>
      </c>
      <c r="T383" s="68">
        <v>5.3169749094157286</v>
      </c>
    </row>
    <row r="384" spans="1:20" ht="24" customHeight="1" x14ac:dyDescent="0.25">
      <c r="L384" s="2">
        <v>0</v>
      </c>
      <c r="M384" s="2">
        <v>1</v>
      </c>
      <c r="N384" s="2">
        <v>-1</v>
      </c>
      <c r="O384" s="14">
        <v>2</v>
      </c>
      <c r="Q384" s="68">
        <v>6.5331072208611349</v>
      </c>
      <c r="R384" s="68">
        <v>8.2386267460659113</v>
      </c>
      <c r="S384" s="68">
        <v>7.1926232760261462</v>
      </c>
      <c r="T384" s="68">
        <v>6.0401074842400977</v>
      </c>
    </row>
    <row r="385" spans="10:20" ht="24" customHeight="1" x14ac:dyDescent="0.25">
      <c r="L385" s="2">
        <v>0</v>
      </c>
      <c r="M385" s="2">
        <v>1</v>
      </c>
      <c r="N385" s="2">
        <v>-1</v>
      </c>
      <c r="O385" s="14">
        <v>1</v>
      </c>
      <c r="Q385" s="69">
        <v>5.5331072208611349</v>
      </c>
      <c r="R385" s="69">
        <v>7.2386267460659104</v>
      </c>
      <c r="S385" s="69">
        <v>6.1926232760261462</v>
      </c>
      <c r="T385" s="69">
        <v>5.0401074842400977</v>
      </c>
    </row>
    <row r="387" spans="10:20" ht="24" customHeight="1" x14ac:dyDescent="0.25">
      <c r="J387" t="s">
        <v>112</v>
      </c>
      <c r="Q387" s="15" cm="1">
        <f t="array" ref="Q387:Q396">EXP(Q376:Q385)/SUM(EXP(Q376:Q385))</f>
        <v>1.0872678446839741E-2</v>
      </c>
      <c r="R387" s="15" cm="1">
        <f t="array" ref="R387:R396">EXP(R376:R385)/SUM(EXP(R376:R385))</f>
        <v>2.8283277195283226E-3</v>
      </c>
      <c r="S387" s="15" cm="1">
        <f t="array" ref="S387:S396">EXP(S376:S385)/SUM(EXP(S376:S385))</f>
        <v>6.8115519159836222E-3</v>
      </c>
      <c r="T387" s="15" cm="1">
        <f t="array" ref="T387:T396">EXP(T376:T385)/SUM(EXP(T376:T385))</f>
        <v>1.4526688753490145E-2</v>
      </c>
    </row>
    <row r="388" spans="10:20" ht="24" customHeight="1" x14ac:dyDescent="0.25">
      <c r="Q388" s="65">
        <v>8.0338830989333018E-2</v>
      </c>
      <c r="R388" s="65">
        <v>2.089867218575537E-2</v>
      </c>
      <c r="S388" s="65">
        <v>5.0330939227981542E-2</v>
      </c>
      <c r="T388" s="65">
        <v>0.10733851813124363</v>
      </c>
    </row>
    <row r="389" spans="10:20" ht="24" customHeight="1" x14ac:dyDescent="0.25">
      <c r="Q389" s="65">
        <v>5.046965219070311E-3</v>
      </c>
      <c r="R389" s="65">
        <v>6.7771756584398355E-3</v>
      </c>
      <c r="S389" s="65">
        <v>5.9435744903308836E-3</v>
      </c>
      <c r="T389" s="65">
        <v>4.2174370960630985E-3</v>
      </c>
    </row>
    <row r="390" spans="10:20" ht="24" customHeight="1" x14ac:dyDescent="0.25">
      <c r="Q390" s="65">
        <v>0.1369150004892376</v>
      </c>
      <c r="R390" s="65">
        <v>0.19603875538423049</v>
      </c>
      <c r="S390" s="65">
        <v>0.16587645396416942</v>
      </c>
      <c r="T390" s="65">
        <v>0.11173109484328407</v>
      </c>
    </row>
    <row r="391" spans="10:20" ht="24" customHeight="1" x14ac:dyDescent="0.25">
      <c r="Q391" s="65">
        <v>2.9555004248722785E-2</v>
      </c>
      <c r="R391" s="65">
        <v>7.6881918449208499E-3</v>
      </c>
      <c r="S391" s="65">
        <v>1.8515717796823674E-2</v>
      </c>
      <c r="T391" s="65">
        <v>3.9487634066292639E-2</v>
      </c>
    </row>
    <row r="392" spans="10:20" ht="24" customHeight="1" x14ac:dyDescent="0.25">
      <c r="Q392" s="65">
        <v>5.046965219070311E-3</v>
      </c>
      <c r="R392" s="65">
        <v>6.7771756584398355E-3</v>
      </c>
      <c r="S392" s="65">
        <v>5.9435744903308836E-3</v>
      </c>
      <c r="T392" s="65">
        <v>4.2174370960630985E-3</v>
      </c>
    </row>
    <row r="393" spans="10:20" ht="24" customHeight="1" x14ac:dyDescent="0.25">
      <c r="Q393" s="65">
        <v>0.21838358439794636</v>
      </c>
      <c r="R393" s="65">
        <v>5.6808480841461291E-2</v>
      </c>
      <c r="S393" s="65">
        <v>0.13681367751269874</v>
      </c>
      <c r="T393" s="65">
        <v>0.29177634332988128</v>
      </c>
    </row>
    <row r="394" spans="10:20" ht="24" customHeight="1" x14ac:dyDescent="0.25">
      <c r="Q394" s="65">
        <v>0.1369150004892376</v>
      </c>
      <c r="R394" s="65">
        <v>0.19603875538423049</v>
      </c>
      <c r="S394" s="65">
        <v>0.16587645396416942</v>
      </c>
      <c r="T394" s="65">
        <v>0.11173109484328407</v>
      </c>
    </row>
    <row r="395" spans="10:20" ht="24" customHeight="1" x14ac:dyDescent="0.25">
      <c r="Q395" s="65">
        <v>0.27555496424286152</v>
      </c>
      <c r="R395" s="65">
        <v>0.37002125340047154</v>
      </c>
      <c r="S395" s="65">
        <v>0.3245081717562544</v>
      </c>
      <c r="T395" s="65">
        <v>0.2302642633262012</v>
      </c>
    </row>
    <row r="396" spans="10:20" ht="24" customHeight="1" x14ac:dyDescent="0.25">
      <c r="Q396" s="66">
        <v>0.10137100625768067</v>
      </c>
      <c r="R396" s="66">
        <v>0.136123211922522</v>
      </c>
      <c r="S396" s="66">
        <v>0.11937988488125729</v>
      </c>
      <c r="T396" s="66">
        <v>8.470948851419674E-2</v>
      </c>
    </row>
  </sheetData>
  <conditionalFormatting sqref="Q387:Q396 R387:T387">
    <cfRule type="dataBar" priority="1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{FB4C3924-94B5-F248-8642-44E969483518}</x14:id>
        </ext>
      </extLst>
    </cfRule>
  </conditionalFormatting>
  <conditionalFormatting sqref="Q387:T387">
    <cfRule type="dataBar" priority="1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{71AFC4B3-3E96-7041-8754-F520FCDDBACE}</x14:id>
        </ext>
      </extLst>
    </cfRule>
  </conditionalFormatting>
  <conditionalFormatting sqref="Q387:T39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{70301CFF-2C38-3E45-B85A-959CBB00D7E5}</x14:id>
        </ext>
      </extLst>
    </cfRule>
  </conditionalFormatting>
  <conditionalFormatting sqref="R387:R396">
    <cfRule type="dataBar" priority="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{1E7D6B64-6309-9B4F-88C7-2E209E6178A5}</x14:id>
        </ext>
      </extLst>
    </cfRule>
  </conditionalFormatting>
  <conditionalFormatting sqref="S387:S396">
    <cfRule type="dataBar" priority="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{9E49B29F-655D-5646-B2F8-7822EB36ECEF}</x14:id>
        </ext>
      </extLst>
    </cfRule>
  </conditionalFormatting>
  <conditionalFormatting sqref="T387:T396">
    <cfRule type="dataBar" priority="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{B5322F12-66AD-5248-AF2E-CEBBCE2DF6FE}</x14:id>
        </ext>
      </extLst>
    </cfRule>
  </conditionalFormatting>
  <conditionalFormatting sqref="Z59:Z62">
    <cfRule type="dataBar" priority="12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{16BB06B2-B36C-FD49-9A3A-4BF6505EC948}</x14:id>
        </ext>
      </extLst>
    </cfRule>
  </conditionalFormatting>
  <conditionalFormatting sqref="Z71:AC76">
    <cfRule type="dataBar" priority="12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{72DE3D23-3598-3E40-A8F5-5C95004105A6}</x14:id>
        </ext>
      </extLst>
    </cfRule>
  </conditionalFormatting>
  <conditionalFormatting sqref="Z97:Z100">
    <cfRule type="dataBar" priority="10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{A19849D2-7486-9F47-AEDA-F0704FE9EACF}</x14:id>
        </ext>
      </extLst>
    </cfRule>
  </conditionalFormatting>
  <conditionalFormatting sqref="Z119:Z124">
    <cfRule type="dataBar" priority="13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{35F7EFA7-3C1D-554F-9EE6-7488B84BBF57}</x14:id>
        </ext>
      </extLst>
    </cfRule>
  </conditionalFormatting>
  <conditionalFormatting sqref="Z131:Z134">
    <cfRule type="dataBar" priority="15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{75B94E2C-F504-7049-B131-51A9BEF4990B}</x14:id>
        </ext>
      </extLst>
    </cfRule>
  </conditionalFormatting>
  <conditionalFormatting sqref="AA59:AA62">
    <cfRule type="dataBar" priority="12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{C0007A73-CD56-E247-8DED-CEEDA8004BD8}</x14:id>
        </ext>
      </extLst>
    </cfRule>
  </conditionalFormatting>
  <conditionalFormatting sqref="AA97:AA100">
    <cfRule type="dataBar" priority="10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{0BF4B77F-39AE-3843-A7E7-60128B27F889}</x14:id>
        </ext>
      </extLst>
    </cfRule>
  </conditionalFormatting>
  <conditionalFormatting sqref="AA119:AA124">
    <cfRule type="dataBar" priority="13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{92D6E961-CDBA-8944-9074-A05F2787975D}</x14:id>
        </ext>
      </extLst>
    </cfRule>
  </conditionalFormatting>
  <conditionalFormatting sqref="AA131:AA134">
    <cfRule type="dataBar" priority="15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{D382BA83-026B-A749-8886-AF36B31BE96D}</x14:id>
        </ext>
      </extLst>
    </cfRule>
  </conditionalFormatting>
  <conditionalFormatting sqref="AB59:AB62">
    <cfRule type="dataBar" priority="12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{AAD9CC24-B477-1A48-9A58-BD91C1DD1540}</x14:id>
        </ext>
      </extLst>
    </cfRule>
  </conditionalFormatting>
  <conditionalFormatting sqref="AB97:AB100">
    <cfRule type="dataBar" priority="10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{6E5708E4-1BCA-9F43-A4BB-51DBFC34C2F3}</x14:id>
        </ext>
      </extLst>
    </cfRule>
  </conditionalFormatting>
  <conditionalFormatting sqref="AB119:AB124">
    <cfRule type="dataBar" priority="13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{4621A697-94B7-1647-80E2-8161399EEC47}</x14:id>
        </ext>
      </extLst>
    </cfRule>
  </conditionalFormatting>
  <conditionalFormatting sqref="AB131:AB134">
    <cfRule type="dataBar" priority="15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{0C2EED3D-2B3D-EC42-8896-F12869A5D7E1}</x14:id>
        </ext>
      </extLst>
    </cfRule>
  </conditionalFormatting>
  <conditionalFormatting sqref="AC59:AC62">
    <cfRule type="dataBar" priority="1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{15BC11D0-08F2-D34B-BE49-FD06D7A14EE0}</x14:id>
        </ext>
      </extLst>
    </cfRule>
  </conditionalFormatting>
  <conditionalFormatting sqref="AC97:AC100">
    <cfRule type="dataBar" priority="10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{1D76A275-16F4-C341-BB1B-441E50C6E510}</x14:id>
        </ext>
      </extLst>
    </cfRule>
  </conditionalFormatting>
  <conditionalFormatting sqref="AC119:AC124">
    <cfRule type="dataBar" priority="14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{C1994AA6-5810-A24F-8073-3B2ADAB04002}</x14:id>
        </ext>
      </extLst>
    </cfRule>
  </conditionalFormatting>
  <conditionalFormatting sqref="AC131:AC134">
    <cfRule type="dataBar" priority="15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{E131072E-E737-8143-A6D5-4CC0ADBC5217}</x14:id>
        </ext>
      </extLst>
    </cfRule>
  </conditionalFormatting>
  <conditionalFormatting sqref="AD14:AD17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{D5386458-15FF-2B48-AA91-95F4DBE3ABBE}</x14:id>
        </ext>
      </extLst>
    </cfRule>
  </conditionalFormatting>
  <conditionalFormatting sqref="AE14:AE17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{056BA48D-613F-DB4F-B519-E8F4C61F9A83}</x14:id>
        </ext>
      </extLst>
    </cfRule>
  </conditionalFormatting>
  <conditionalFormatting sqref="AE119:AE124">
    <cfRule type="dataBar" priority="6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{447903DB-90E2-BB4D-9799-B380415980BB}</x14:id>
        </ext>
      </extLst>
    </cfRule>
  </conditionalFormatting>
  <conditionalFormatting sqref="AE147:AE150">
    <cfRule type="dataBar" priority="5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{8A1E802B-C4E2-3D46-AE22-FFB383AA4A40}</x14:id>
        </ext>
      </extLst>
    </cfRule>
  </conditionalFormatting>
  <conditionalFormatting sqref="AE169:AE174">
    <cfRule type="dataBar" priority="4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{55E56875-1DEF-F348-A24A-88BDFE0EEB36}</x14:id>
        </ext>
      </extLst>
    </cfRule>
  </conditionalFormatting>
  <conditionalFormatting sqref="AE181:AE183">
    <cfRule type="dataBar" priority="9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{565FC500-B6F6-7B4F-8EF1-4CDB78272B72}</x14:id>
        </ext>
      </extLst>
    </cfRule>
  </conditionalFormatting>
  <conditionalFormatting sqref="AE97:AH100">
    <cfRule type="dataBar" priority="7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{12D2DBAF-9DBE-4D4E-84FB-30B506908607}</x14:id>
        </ext>
      </extLst>
    </cfRule>
  </conditionalFormatting>
  <conditionalFormatting sqref="AF14:AF17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{AE09B2BC-CBC6-6F44-A276-4B7103CFA2C1}</x14:id>
        </ext>
      </extLst>
    </cfRule>
  </conditionalFormatting>
  <conditionalFormatting sqref="AF119">
    <cfRule type="dataBar" priority="5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{DDAC4EC4-11CF-2B4C-ADDB-5D80803783F5}</x14:id>
        </ext>
      </extLst>
    </cfRule>
  </conditionalFormatting>
  <conditionalFormatting sqref="AF120:AF124">
    <cfRule type="dataBar" priority="6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{1CA9A2B5-151D-F145-89AE-2A8272F17DE5}</x14:id>
        </ext>
      </extLst>
    </cfRule>
  </conditionalFormatting>
  <conditionalFormatting sqref="AF147:AF150">
    <cfRule type="dataBar" priority="5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{3F34AB84-42F0-964E-83A9-8A6C98964249}</x14:id>
        </ext>
      </extLst>
    </cfRule>
  </conditionalFormatting>
  <conditionalFormatting sqref="AF169:AF174">
    <cfRule type="dataBar" priority="4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{C390E6A3-7F38-1E4D-9144-FD09F9A265F0}</x14:id>
        </ext>
      </extLst>
    </cfRule>
  </conditionalFormatting>
  <conditionalFormatting sqref="AF181:AF183">
    <cfRule type="dataBar" priority="9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{9343011D-8BE9-1F44-9E68-8D0A93551A12}</x14:id>
        </ext>
      </extLst>
    </cfRule>
  </conditionalFormatting>
  <conditionalFormatting sqref="AF298:AF301">
    <cfRule type="dataBar" priority="3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{2938FC53-78E6-2546-80CD-C605995F4DA5}</x14:id>
        </ext>
      </extLst>
    </cfRule>
  </conditionalFormatting>
  <conditionalFormatting sqref="AF318:AF323">
    <cfRule type="dataBar" priority="2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{FD515EB1-33F3-2941-BDF4-99A1724D069D}</x14:id>
        </ext>
      </extLst>
    </cfRule>
  </conditionalFormatting>
  <conditionalFormatting sqref="AF330:AF332">
    <cfRule type="dataBar" priority="2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{26EE0783-4132-8943-B562-F84B54573728}</x14:id>
        </ext>
      </extLst>
    </cfRule>
  </conditionalFormatting>
  <conditionalFormatting sqref="AG14:AG17">
    <cfRule type="dataBar" priority="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{F818CC16-39D3-8C4F-BA4B-36CE3FE90EC3}</x14:id>
        </ext>
      </extLst>
    </cfRule>
  </conditionalFormatting>
  <conditionalFormatting sqref="AG119">
    <cfRule type="dataBar" priority="5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{389633AC-4772-2945-AC2E-73683BF7922A}</x14:id>
        </ext>
      </extLst>
    </cfRule>
  </conditionalFormatting>
  <conditionalFormatting sqref="AG120:AG124">
    <cfRule type="dataBar" priority="5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{9E8CAFF8-7DEC-B844-8089-CC2105684B0F}</x14:id>
        </ext>
      </extLst>
    </cfRule>
  </conditionalFormatting>
  <conditionalFormatting sqref="AG147:AG150">
    <cfRule type="dataBar" priority="5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{138359B5-A134-6C41-829B-C7D496D523AE}</x14:id>
        </ext>
      </extLst>
    </cfRule>
  </conditionalFormatting>
  <conditionalFormatting sqref="AG169:AG174">
    <cfRule type="dataBar" priority="4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{9D14F633-CAD0-274C-A77D-98B7F5AD1720}</x14:id>
        </ext>
      </extLst>
    </cfRule>
  </conditionalFormatting>
  <conditionalFormatting sqref="AG181:AG183">
    <cfRule type="dataBar" priority="9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{E0F8159E-C2CB-9449-B888-999600879CC2}</x14:id>
        </ext>
      </extLst>
    </cfRule>
  </conditionalFormatting>
  <conditionalFormatting sqref="AG232:AG237">
    <cfRule type="dataBar" priority="7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{F82659D5-56BE-3D4B-888E-3F09E68ED23C}</x14:id>
        </ext>
      </extLst>
    </cfRule>
  </conditionalFormatting>
  <conditionalFormatting sqref="AG298:AG301">
    <cfRule type="dataBar" priority="3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{9FDA917C-5539-7C47-B774-F1A9487A01D0}</x14:id>
        </ext>
      </extLst>
    </cfRule>
  </conditionalFormatting>
  <conditionalFormatting sqref="AG318:AG323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{4C16ADA2-86BE-F34D-ADEB-2389C74DD079}</x14:id>
        </ext>
      </extLst>
    </cfRule>
  </conditionalFormatting>
  <conditionalFormatting sqref="AG330:AG332">
    <cfRule type="dataBar" priority="2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{56C4FEED-D0CF-C94B-9D0D-2FC857AAD29C}</x14:id>
        </ext>
      </extLst>
    </cfRule>
  </conditionalFormatting>
  <conditionalFormatting sqref="AH119">
    <cfRule type="dataBar" priority="5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{32EFB659-F436-874C-9126-FEB5686CDF81}</x14:id>
        </ext>
      </extLst>
    </cfRule>
  </conditionalFormatting>
  <conditionalFormatting sqref="AH120:AH124">
    <cfRule type="dataBar" priority="5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{6FF6DAD1-3BDB-1343-ADD7-991AF93425F7}</x14:id>
        </ext>
      </extLst>
    </cfRule>
  </conditionalFormatting>
  <conditionalFormatting sqref="AH147:AH150">
    <cfRule type="dataBar" priority="5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{0D467FC2-A47B-424F-98F6-2EF03AA6E2D4}</x14:id>
        </ext>
      </extLst>
    </cfRule>
  </conditionalFormatting>
  <conditionalFormatting sqref="AH169:AH174">
    <cfRule type="dataBar" priority="4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{8AD721B7-CC63-A64F-937E-C80123C1935C}</x14:id>
        </ext>
      </extLst>
    </cfRule>
  </conditionalFormatting>
  <conditionalFormatting sqref="AH181:AH183">
    <cfRule type="dataBar" priority="9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{31DCF23B-E7D2-A640-BDBA-1A4FD0933E07}</x14:id>
        </ext>
      </extLst>
    </cfRule>
  </conditionalFormatting>
  <conditionalFormatting sqref="AH232:AH237">
    <cfRule type="dataBar" priority="7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{BF3A15B6-46B8-0E4B-8B70-908D8D8BFA72}</x14:id>
        </ext>
      </extLst>
    </cfRule>
  </conditionalFormatting>
  <conditionalFormatting sqref="AH298:AH301">
    <cfRule type="dataBar" priority="3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{CD40F929-D36A-C645-B5B4-1A0952BC0778}</x14:id>
        </ext>
      </extLst>
    </cfRule>
  </conditionalFormatting>
  <conditionalFormatting sqref="AH318:AH323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{8AC60421-5220-4543-86BC-2870CFDB901E}</x14:id>
        </ext>
      </extLst>
    </cfRule>
  </conditionalFormatting>
  <conditionalFormatting sqref="AH330:AH332">
    <cfRule type="dataBar" priority="2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{07A9CB33-E62E-6C48-A1BE-E6E1F48ED6C1}</x14:id>
        </ext>
      </extLst>
    </cfRule>
  </conditionalFormatting>
  <conditionalFormatting sqref="AI232:AI237">
    <cfRule type="dataBar" priority="7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{389FB63C-F0E5-F04D-9394-54537C6DFD29}</x14:id>
        </ext>
      </extLst>
    </cfRule>
  </conditionalFormatting>
  <conditionalFormatting sqref="AI298:AI301">
    <cfRule type="dataBar" priority="3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{EE7B906C-2507-A94B-9380-16C43E407C86}</x14:id>
        </ext>
      </extLst>
    </cfRule>
  </conditionalFormatting>
  <conditionalFormatting sqref="AI318:AI323">
    <cfRule type="dataBar" priority="2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{19E90B74-F446-6F44-B080-F19AFA2F5382}</x14:id>
        </ext>
      </extLst>
    </cfRule>
  </conditionalFormatting>
  <conditionalFormatting sqref="AI330:AI332">
    <cfRule type="dataBar" priority="2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{EF3B7E61-B75A-7542-9789-5065B3903C00}</x14:id>
        </ext>
      </extLst>
    </cfRule>
  </conditionalFormatting>
  <conditionalFormatting sqref="AI14:AL17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{3A5AE901-A662-944C-8358-FC7F415BD4DC}</x14:id>
        </ext>
      </extLst>
    </cfRule>
  </conditionalFormatting>
  <conditionalFormatting sqref="AJ169:AJ174">
    <cfRule type="dataBar" priority="4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{FD2EE8D8-ED78-AB43-AC76-591AAC0DEC04}</x14:id>
        </ext>
      </extLst>
    </cfRule>
  </conditionalFormatting>
  <conditionalFormatting sqref="AJ232:AJ237">
    <cfRule type="dataBar" priority="7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{874F2A36-C5B4-7548-AE50-FD21FF2B0FD3}</x14:id>
        </ext>
      </extLst>
    </cfRule>
  </conditionalFormatting>
  <conditionalFormatting sqref="AJ147:AM150">
    <cfRule type="dataBar" priority="5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{7010508D-4FF5-7A45-8718-311F74CB4073}</x14:id>
        </ext>
      </extLst>
    </cfRule>
  </conditionalFormatting>
  <conditionalFormatting sqref="AK169">
    <cfRule type="dataBar" priority="4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{F48DB8E5-AAC0-2848-A264-8AA32B75220C}</x14:id>
        </ext>
      </extLst>
    </cfRule>
  </conditionalFormatting>
  <conditionalFormatting sqref="AK170:AK174">
    <cfRule type="dataBar" priority="4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{CB4AAA7C-A874-7D4C-885E-65E250B9CBE1}</x14:id>
        </ext>
      </extLst>
    </cfRule>
  </conditionalFormatting>
  <conditionalFormatting sqref="AK318:AK323">
    <cfRule type="dataBar" priority="2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{41F911A4-E655-1F47-A613-FB4DD584473F}</x14:id>
        </ext>
      </extLst>
    </cfRule>
  </conditionalFormatting>
  <conditionalFormatting sqref="AK232:AL237">
    <cfRule type="dataBar" priority="3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{9DDC2272-8446-8F4D-BDE9-65C0E4F96330}</x14:id>
        </ext>
      </extLst>
    </cfRule>
  </conditionalFormatting>
  <conditionalFormatting sqref="AK298:AN301">
    <cfRule type="dataBar" priority="3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{76C3416D-33AB-A64B-91C6-9C86D6792311}</x14:id>
        </ext>
      </extLst>
    </cfRule>
  </conditionalFormatting>
  <conditionalFormatting sqref="AL169">
    <cfRule type="dataBar" priority="4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{84C3AB43-13C9-B345-AE76-F7AF0D393B7F}</x14:id>
        </ext>
      </extLst>
    </cfRule>
  </conditionalFormatting>
  <conditionalFormatting sqref="AL170:AL174">
    <cfRule type="dataBar" priority="4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{5BF1A792-186B-2D4A-8953-19575750638D}</x14:id>
        </ext>
      </extLst>
    </cfRule>
  </conditionalFormatting>
  <conditionalFormatting sqref="AL318">
    <cfRule type="dataBar" priority="1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{3C3BEC01-23C7-2C41-9798-E3426097B693}</x14:id>
        </ext>
      </extLst>
    </cfRule>
  </conditionalFormatting>
  <conditionalFormatting sqref="AL319:AL323">
    <cfRule type="dataBar" priority="2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{8583AB87-7962-A445-AC2E-30CCF53970B7}</x14:id>
        </ext>
      </extLst>
    </cfRule>
  </conditionalFormatting>
  <conditionalFormatting sqref="AM169">
    <cfRule type="dataBar" priority="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{3B06E0A1-C543-6B4C-82B2-366EEC16B0F7}</x14:id>
        </ext>
      </extLst>
    </cfRule>
  </conditionalFormatting>
  <conditionalFormatting sqref="AM170:AM174">
    <cfRule type="dataBar" priority="4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{CCC6A440-594C-954B-9CA1-969D478C3881}</x14:id>
        </ext>
      </extLst>
    </cfRule>
  </conditionalFormatting>
  <conditionalFormatting sqref="AM318">
    <cfRule type="dataBar" priority="1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{B3B16026-6C4B-8746-932A-CCB60B6B692B}</x14:id>
        </ext>
      </extLst>
    </cfRule>
  </conditionalFormatting>
  <conditionalFormatting sqref="AM319:AM323">
    <cfRule type="dataBar" priority="1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{1035DCF8-40A0-1B44-BEF1-766B21BFB72F}</x14:id>
        </ext>
      </extLst>
    </cfRule>
  </conditionalFormatting>
  <conditionalFormatting sqref="AN232:AN237">
    <cfRule type="dataBar" priority="3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{DF12E820-D788-CF41-8784-1DFD7BB067E4}</x14:id>
        </ext>
      </extLst>
    </cfRule>
  </conditionalFormatting>
  <conditionalFormatting sqref="AN318">
    <cfRule type="dataBar" priority="1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{27B60CA8-8BDC-0745-A0DB-711A774B1461}</x14:id>
        </ext>
      </extLst>
    </cfRule>
  </conditionalFormatting>
  <conditionalFormatting sqref="AN319:AN323">
    <cfRule type="dataBar" priority="1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{E39C631A-B741-874E-A369-7428EB055DD7}</x14:id>
        </ext>
      </extLst>
    </cfRule>
  </conditionalFormatting>
  <conditionalFormatting sqref="AO232:AR237">
    <cfRule type="dataBar" priority="3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{FFBA20EC-FC66-3841-90AE-CAAC4932E7F4}</x14:id>
        </ext>
      </extLst>
    </cfRule>
  </conditionalFormatting>
  <conditionalFormatting sqref="AS232:AS237">
    <cfRule type="dataBar" priority="3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{81624330-4B33-6247-91AE-46060F9EC906}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B4C3924-94B5-F248-8642-44E96948351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Q387:Q396 R387:T387</xm:sqref>
        </x14:conditionalFormatting>
        <x14:conditionalFormatting xmlns:xm="http://schemas.microsoft.com/office/excel/2006/main">
          <x14:cfRule type="dataBar" id="{71AFC4B3-3E96-7041-8754-F520FCDDBAC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Q387:T387</xm:sqref>
        </x14:conditionalFormatting>
        <x14:conditionalFormatting xmlns:xm="http://schemas.microsoft.com/office/excel/2006/main">
          <x14:cfRule type="dataBar" id="{70301CFF-2C38-3E45-B85A-959CBB00D7E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Q387:T396</xm:sqref>
        </x14:conditionalFormatting>
        <x14:conditionalFormatting xmlns:xm="http://schemas.microsoft.com/office/excel/2006/main">
          <x14:cfRule type="dataBar" id="{1E7D6B64-6309-9B4F-88C7-2E209E6178A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R387:R396</xm:sqref>
        </x14:conditionalFormatting>
        <x14:conditionalFormatting xmlns:xm="http://schemas.microsoft.com/office/excel/2006/main">
          <x14:cfRule type="dataBar" id="{9E49B29F-655D-5646-B2F8-7822EB36ECE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S387:S396</xm:sqref>
        </x14:conditionalFormatting>
        <x14:conditionalFormatting xmlns:xm="http://schemas.microsoft.com/office/excel/2006/main">
          <x14:cfRule type="dataBar" id="{B5322F12-66AD-5248-AF2E-CEBBCE2DF6F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T387:T396</xm:sqref>
        </x14:conditionalFormatting>
        <x14:conditionalFormatting xmlns:xm="http://schemas.microsoft.com/office/excel/2006/main">
          <x14:cfRule type="dataBar" id="{16BB06B2-B36C-FD49-9A3A-4BF6505EC94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Z59:Z62</xm:sqref>
        </x14:conditionalFormatting>
        <x14:conditionalFormatting xmlns:xm="http://schemas.microsoft.com/office/excel/2006/main">
          <x14:cfRule type="dataBar" id="{72DE3D23-3598-3E40-A8F5-5C95004105A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Z71:AC76</xm:sqref>
        </x14:conditionalFormatting>
        <x14:conditionalFormatting xmlns:xm="http://schemas.microsoft.com/office/excel/2006/main">
          <x14:cfRule type="dataBar" id="{A19849D2-7486-9F47-AEDA-F0704FE9EAC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Z97:Z100</xm:sqref>
        </x14:conditionalFormatting>
        <x14:conditionalFormatting xmlns:xm="http://schemas.microsoft.com/office/excel/2006/main">
          <x14:cfRule type="dataBar" id="{35F7EFA7-3C1D-554F-9EE6-7488B84BBF5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Z119:Z124</xm:sqref>
        </x14:conditionalFormatting>
        <x14:conditionalFormatting xmlns:xm="http://schemas.microsoft.com/office/excel/2006/main">
          <x14:cfRule type="dataBar" id="{75B94E2C-F504-7049-B131-51A9BEF4990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Z131:Z134</xm:sqref>
        </x14:conditionalFormatting>
        <x14:conditionalFormatting xmlns:xm="http://schemas.microsoft.com/office/excel/2006/main">
          <x14:cfRule type="dataBar" id="{C0007A73-CD56-E247-8DED-CEEDA8004BD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AA59:AA62</xm:sqref>
        </x14:conditionalFormatting>
        <x14:conditionalFormatting xmlns:xm="http://schemas.microsoft.com/office/excel/2006/main">
          <x14:cfRule type="dataBar" id="{0BF4B77F-39AE-3843-A7E7-60128B27F88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AA97:AA100</xm:sqref>
        </x14:conditionalFormatting>
        <x14:conditionalFormatting xmlns:xm="http://schemas.microsoft.com/office/excel/2006/main">
          <x14:cfRule type="dataBar" id="{92D6E961-CDBA-8944-9074-A05F2787975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AA119:AA124</xm:sqref>
        </x14:conditionalFormatting>
        <x14:conditionalFormatting xmlns:xm="http://schemas.microsoft.com/office/excel/2006/main">
          <x14:cfRule type="dataBar" id="{D382BA83-026B-A749-8886-AF36B31BE96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AA131:AA134</xm:sqref>
        </x14:conditionalFormatting>
        <x14:conditionalFormatting xmlns:xm="http://schemas.microsoft.com/office/excel/2006/main">
          <x14:cfRule type="dataBar" id="{AAD9CC24-B477-1A48-9A58-BD91C1DD154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AB59:AB62</xm:sqref>
        </x14:conditionalFormatting>
        <x14:conditionalFormatting xmlns:xm="http://schemas.microsoft.com/office/excel/2006/main">
          <x14:cfRule type="dataBar" id="{6E5708E4-1BCA-9F43-A4BB-51DBFC34C2F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AB97:AB100</xm:sqref>
        </x14:conditionalFormatting>
        <x14:conditionalFormatting xmlns:xm="http://schemas.microsoft.com/office/excel/2006/main">
          <x14:cfRule type="dataBar" id="{4621A697-94B7-1647-80E2-8161399EEC4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AB119:AB124</xm:sqref>
        </x14:conditionalFormatting>
        <x14:conditionalFormatting xmlns:xm="http://schemas.microsoft.com/office/excel/2006/main">
          <x14:cfRule type="dataBar" id="{0C2EED3D-2B3D-EC42-8896-F12869A5D7E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AB131:AB134</xm:sqref>
        </x14:conditionalFormatting>
        <x14:conditionalFormatting xmlns:xm="http://schemas.microsoft.com/office/excel/2006/main">
          <x14:cfRule type="dataBar" id="{15BC11D0-08F2-D34B-BE49-FD06D7A14EE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AC59:AC62</xm:sqref>
        </x14:conditionalFormatting>
        <x14:conditionalFormatting xmlns:xm="http://schemas.microsoft.com/office/excel/2006/main">
          <x14:cfRule type="dataBar" id="{1D76A275-16F4-C341-BB1B-441E50C6E51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AC97:AC100</xm:sqref>
        </x14:conditionalFormatting>
        <x14:conditionalFormatting xmlns:xm="http://schemas.microsoft.com/office/excel/2006/main">
          <x14:cfRule type="dataBar" id="{C1994AA6-5810-A24F-8073-3B2ADAB0400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AC119:AC124</xm:sqref>
        </x14:conditionalFormatting>
        <x14:conditionalFormatting xmlns:xm="http://schemas.microsoft.com/office/excel/2006/main">
          <x14:cfRule type="dataBar" id="{E131072E-E737-8143-A6D5-4CC0ADBC521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AC131:AC134</xm:sqref>
        </x14:conditionalFormatting>
        <x14:conditionalFormatting xmlns:xm="http://schemas.microsoft.com/office/excel/2006/main">
          <x14:cfRule type="dataBar" id="{D5386458-15FF-2B48-AA91-95F4DBE3ABB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AD14:AD17</xm:sqref>
        </x14:conditionalFormatting>
        <x14:conditionalFormatting xmlns:xm="http://schemas.microsoft.com/office/excel/2006/main">
          <x14:cfRule type="dataBar" id="{056BA48D-613F-DB4F-B519-E8F4C61F9A8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AE14:AE17</xm:sqref>
        </x14:conditionalFormatting>
        <x14:conditionalFormatting xmlns:xm="http://schemas.microsoft.com/office/excel/2006/main">
          <x14:cfRule type="dataBar" id="{447903DB-90E2-BB4D-9799-B380415980B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AE119:AE124</xm:sqref>
        </x14:conditionalFormatting>
        <x14:conditionalFormatting xmlns:xm="http://schemas.microsoft.com/office/excel/2006/main">
          <x14:cfRule type="dataBar" id="{8A1E802B-C4E2-3D46-AE22-FFB383AA4A4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AE147:AE150</xm:sqref>
        </x14:conditionalFormatting>
        <x14:conditionalFormatting xmlns:xm="http://schemas.microsoft.com/office/excel/2006/main">
          <x14:cfRule type="dataBar" id="{55E56875-1DEF-F348-A24A-88BDFE0EEB3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AE169:AE174</xm:sqref>
        </x14:conditionalFormatting>
        <x14:conditionalFormatting xmlns:xm="http://schemas.microsoft.com/office/excel/2006/main">
          <x14:cfRule type="dataBar" id="{565FC500-B6F6-7B4F-8EF1-4CDB78272B7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AE181:AE183</xm:sqref>
        </x14:conditionalFormatting>
        <x14:conditionalFormatting xmlns:xm="http://schemas.microsoft.com/office/excel/2006/main">
          <x14:cfRule type="dataBar" id="{12D2DBAF-9DBE-4D4E-84FB-30B5069086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AE97:AH100</xm:sqref>
        </x14:conditionalFormatting>
        <x14:conditionalFormatting xmlns:xm="http://schemas.microsoft.com/office/excel/2006/main">
          <x14:cfRule type="dataBar" id="{AE09B2BC-CBC6-6F44-A276-4B7103CFA2C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AF14:AF17</xm:sqref>
        </x14:conditionalFormatting>
        <x14:conditionalFormatting xmlns:xm="http://schemas.microsoft.com/office/excel/2006/main">
          <x14:cfRule type="dataBar" id="{DDAC4EC4-11CF-2B4C-ADDB-5D80803783F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AF119</xm:sqref>
        </x14:conditionalFormatting>
        <x14:conditionalFormatting xmlns:xm="http://schemas.microsoft.com/office/excel/2006/main">
          <x14:cfRule type="dataBar" id="{1CA9A2B5-151D-F145-89AE-2A8272F17DE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AF120:AF124</xm:sqref>
        </x14:conditionalFormatting>
        <x14:conditionalFormatting xmlns:xm="http://schemas.microsoft.com/office/excel/2006/main">
          <x14:cfRule type="dataBar" id="{3F34AB84-42F0-964E-83A9-8A6C9896424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AF147:AF150</xm:sqref>
        </x14:conditionalFormatting>
        <x14:conditionalFormatting xmlns:xm="http://schemas.microsoft.com/office/excel/2006/main">
          <x14:cfRule type="dataBar" id="{C390E6A3-7F38-1E4D-9144-FD09F9A265F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AF169:AF174</xm:sqref>
        </x14:conditionalFormatting>
        <x14:conditionalFormatting xmlns:xm="http://schemas.microsoft.com/office/excel/2006/main">
          <x14:cfRule type="dataBar" id="{9343011D-8BE9-1F44-9E68-8D0A93551A1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AF181:AF183</xm:sqref>
        </x14:conditionalFormatting>
        <x14:conditionalFormatting xmlns:xm="http://schemas.microsoft.com/office/excel/2006/main">
          <x14:cfRule type="dataBar" id="{2938FC53-78E6-2546-80CD-C605995F4DA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AF298:AF301</xm:sqref>
        </x14:conditionalFormatting>
        <x14:conditionalFormatting xmlns:xm="http://schemas.microsoft.com/office/excel/2006/main">
          <x14:cfRule type="dataBar" id="{FD515EB1-33F3-2941-BDF4-99A1724D069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AF318:AF323</xm:sqref>
        </x14:conditionalFormatting>
        <x14:conditionalFormatting xmlns:xm="http://schemas.microsoft.com/office/excel/2006/main">
          <x14:cfRule type="dataBar" id="{26EE0783-4132-8943-B562-F84B5457372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AF330:AF332</xm:sqref>
        </x14:conditionalFormatting>
        <x14:conditionalFormatting xmlns:xm="http://schemas.microsoft.com/office/excel/2006/main">
          <x14:cfRule type="dataBar" id="{F818CC16-39D3-8C4F-BA4B-36CE3FE90EC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AG14:AG17</xm:sqref>
        </x14:conditionalFormatting>
        <x14:conditionalFormatting xmlns:xm="http://schemas.microsoft.com/office/excel/2006/main">
          <x14:cfRule type="dataBar" id="{389633AC-4772-2945-AC2E-73683BF7922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AG119</xm:sqref>
        </x14:conditionalFormatting>
        <x14:conditionalFormatting xmlns:xm="http://schemas.microsoft.com/office/excel/2006/main">
          <x14:cfRule type="dataBar" id="{9E8CAFF8-7DEC-B844-8089-CC2105684B0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AG120:AG124</xm:sqref>
        </x14:conditionalFormatting>
        <x14:conditionalFormatting xmlns:xm="http://schemas.microsoft.com/office/excel/2006/main">
          <x14:cfRule type="dataBar" id="{138359B5-A134-6C41-829B-C7D496D523A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AG147:AG150</xm:sqref>
        </x14:conditionalFormatting>
        <x14:conditionalFormatting xmlns:xm="http://schemas.microsoft.com/office/excel/2006/main">
          <x14:cfRule type="dataBar" id="{9D14F633-CAD0-274C-A77D-98B7F5AD172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AG169:AG174</xm:sqref>
        </x14:conditionalFormatting>
        <x14:conditionalFormatting xmlns:xm="http://schemas.microsoft.com/office/excel/2006/main">
          <x14:cfRule type="dataBar" id="{E0F8159E-C2CB-9449-B888-999600879CC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AG181:AG183</xm:sqref>
        </x14:conditionalFormatting>
        <x14:conditionalFormatting xmlns:xm="http://schemas.microsoft.com/office/excel/2006/main">
          <x14:cfRule type="dataBar" id="{F82659D5-56BE-3D4B-888E-3F09E68ED23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AG232:AG237</xm:sqref>
        </x14:conditionalFormatting>
        <x14:conditionalFormatting xmlns:xm="http://schemas.microsoft.com/office/excel/2006/main">
          <x14:cfRule type="dataBar" id="{9FDA917C-5539-7C47-B774-F1A9487A01D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AG298:AG301</xm:sqref>
        </x14:conditionalFormatting>
        <x14:conditionalFormatting xmlns:xm="http://schemas.microsoft.com/office/excel/2006/main">
          <x14:cfRule type="dataBar" id="{4C16ADA2-86BE-F34D-ADEB-2389C74DD07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AG318:AG323</xm:sqref>
        </x14:conditionalFormatting>
        <x14:conditionalFormatting xmlns:xm="http://schemas.microsoft.com/office/excel/2006/main">
          <x14:cfRule type="dataBar" id="{56C4FEED-D0CF-C94B-9D0D-2FC857AAD29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AG330:AG332</xm:sqref>
        </x14:conditionalFormatting>
        <x14:conditionalFormatting xmlns:xm="http://schemas.microsoft.com/office/excel/2006/main">
          <x14:cfRule type="dataBar" id="{32EFB659-F436-874C-9126-FEB5686CDF8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AH119</xm:sqref>
        </x14:conditionalFormatting>
        <x14:conditionalFormatting xmlns:xm="http://schemas.microsoft.com/office/excel/2006/main">
          <x14:cfRule type="dataBar" id="{6FF6DAD1-3BDB-1343-ADD7-991AF93425F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AH120:AH124</xm:sqref>
        </x14:conditionalFormatting>
        <x14:conditionalFormatting xmlns:xm="http://schemas.microsoft.com/office/excel/2006/main">
          <x14:cfRule type="dataBar" id="{0D467FC2-A47B-424F-98F6-2EF03AA6E2D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AH147:AH150</xm:sqref>
        </x14:conditionalFormatting>
        <x14:conditionalFormatting xmlns:xm="http://schemas.microsoft.com/office/excel/2006/main">
          <x14:cfRule type="dataBar" id="{8AD721B7-CC63-A64F-937E-C80123C1935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AH169:AH174</xm:sqref>
        </x14:conditionalFormatting>
        <x14:conditionalFormatting xmlns:xm="http://schemas.microsoft.com/office/excel/2006/main">
          <x14:cfRule type="dataBar" id="{31DCF23B-E7D2-A640-BDBA-1A4FD0933E0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AH181:AH183</xm:sqref>
        </x14:conditionalFormatting>
        <x14:conditionalFormatting xmlns:xm="http://schemas.microsoft.com/office/excel/2006/main">
          <x14:cfRule type="dataBar" id="{BF3A15B6-46B8-0E4B-8B70-908D8D8BFA7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AH232:AH237</xm:sqref>
        </x14:conditionalFormatting>
        <x14:conditionalFormatting xmlns:xm="http://schemas.microsoft.com/office/excel/2006/main">
          <x14:cfRule type="dataBar" id="{CD40F929-D36A-C645-B5B4-1A0952BC077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AH298:AH301</xm:sqref>
        </x14:conditionalFormatting>
        <x14:conditionalFormatting xmlns:xm="http://schemas.microsoft.com/office/excel/2006/main">
          <x14:cfRule type="dataBar" id="{8AC60421-5220-4543-86BC-2870CFDB901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AH318:AH323</xm:sqref>
        </x14:conditionalFormatting>
        <x14:conditionalFormatting xmlns:xm="http://schemas.microsoft.com/office/excel/2006/main">
          <x14:cfRule type="dataBar" id="{07A9CB33-E62E-6C48-A1BE-E6E1F48ED6C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AH330:AH332</xm:sqref>
        </x14:conditionalFormatting>
        <x14:conditionalFormatting xmlns:xm="http://schemas.microsoft.com/office/excel/2006/main">
          <x14:cfRule type="dataBar" id="{389FB63C-F0E5-F04D-9394-54537C6DFD2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AI232:AI237</xm:sqref>
        </x14:conditionalFormatting>
        <x14:conditionalFormatting xmlns:xm="http://schemas.microsoft.com/office/excel/2006/main">
          <x14:cfRule type="dataBar" id="{EE7B906C-2507-A94B-9380-16C43E407C8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AI298:AI301</xm:sqref>
        </x14:conditionalFormatting>
        <x14:conditionalFormatting xmlns:xm="http://schemas.microsoft.com/office/excel/2006/main">
          <x14:cfRule type="dataBar" id="{19E90B74-F446-6F44-B080-F19AFA2F538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AI318:AI323</xm:sqref>
        </x14:conditionalFormatting>
        <x14:conditionalFormatting xmlns:xm="http://schemas.microsoft.com/office/excel/2006/main">
          <x14:cfRule type="dataBar" id="{EF3B7E61-B75A-7542-9789-5065B3903C0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AI330:AI332</xm:sqref>
        </x14:conditionalFormatting>
        <x14:conditionalFormatting xmlns:xm="http://schemas.microsoft.com/office/excel/2006/main">
          <x14:cfRule type="dataBar" id="{3A5AE901-A662-944C-8358-FC7F415BD4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AI14:AL17</xm:sqref>
        </x14:conditionalFormatting>
        <x14:conditionalFormatting xmlns:xm="http://schemas.microsoft.com/office/excel/2006/main">
          <x14:cfRule type="dataBar" id="{FD2EE8D8-ED78-AB43-AC76-591AAC0DEC0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AJ169:AJ174</xm:sqref>
        </x14:conditionalFormatting>
        <x14:conditionalFormatting xmlns:xm="http://schemas.microsoft.com/office/excel/2006/main">
          <x14:cfRule type="dataBar" id="{874F2A36-C5B4-7548-AE50-FD21FF2B0FD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AJ232:AJ237</xm:sqref>
        </x14:conditionalFormatting>
        <x14:conditionalFormatting xmlns:xm="http://schemas.microsoft.com/office/excel/2006/main">
          <x14:cfRule type="dataBar" id="{7010508D-4FF5-7A45-8718-311F74CB40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AJ147:AM150</xm:sqref>
        </x14:conditionalFormatting>
        <x14:conditionalFormatting xmlns:xm="http://schemas.microsoft.com/office/excel/2006/main">
          <x14:cfRule type="dataBar" id="{F48DB8E5-AAC0-2848-A264-8AA32B75220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AK169</xm:sqref>
        </x14:conditionalFormatting>
        <x14:conditionalFormatting xmlns:xm="http://schemas.microsoft.com/office/excel/2006/main">
          <x14:cfRule type="dataBar" id="{CB4AAA7C-A874-7D4C-885E-65E250B9CBE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AK170:AK174</xm:sqref>
        </x14:conditionalFormatting>
        <x14:conditionalFormatting xmlns:xm="http://schemas.microsoft.com/office/excel/2006/main">
          <x14:cfRule type="dataBar" id="{41F911A4-E655-1F47-A613-FB4DD584473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AK318:AK323</xm:sqref>
        </x14:conditionalFormatting>
        <x14:conditionalFormatting xmlns:xm="http://schemas.microsoft.com/office/excel/2006/main">
          <x14:cfRule type="dataBar" id="{9DDC2272-8446-8F4D-BDE9-65C0E4F9633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AK232:AL237</xm:sqref>
        </x14:conditionalFormatting>
        <x14:conditionalFormatting xmlns:xm="http://schemas.microsoft.com/office/excel/2006/main">
          <x14:cfRule type="dataBar" id="{76C3416D-33AB-A64B-91C6-9C86D67923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AK298:AN301</xm:sqref>
        </x14:conditionalFormatting>
        <x14:conditionalFormatting xmlns:xm="http://schemas.microsoft.com/office/excel/2006/main">
          <x14:cfRule type="dataBar" id="{84C3AB43-13C9-B345-AE76-F7AF0D393B7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AL169</xm:sqref>
        </x14:conditionalFormatting>
        <x14:conditionalFormatting xmlns:xm="http://schemas.microsoft.com/office/excel/2006/main">
          <x14:cfRule type="dataBar" id="{5BF1A792-186B-2D4A-8953-19575750638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AL170:AL174</xm:sqref>
        </x14:conditionalFormatting>
        <x14:conditionalFormatting xmlns:xm="http://schemas.microsoft.com/office/excel/2006/main">
          <x14:cfRule type="dataBar" id="{3C3BEC01-23C7-2C41-9798-E3426097B69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AL318</xm:sqref>
        </x14:conditionalFormatting>
        <x14:conditionalFormatting xmlns:xm="http://schemas.microsoft.com/office/excel/2006/main">
          <x14:cfRule type="dataBar" id="{8583AB87-7962-A445-AC2E-30CCF53970B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AL319:AL323</xm:sqref>
        </x14:conditionalFormatting>
        <x14:conditionalFormatting xmlns:xm="http://schemas.microsoft.com/office/excel/2006/main">
          <x14:cfRule type="dataBar" id="{3B06E0A1-C543-6B4C-82B2-366EEC16B0F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AM169</xm:sqref>
        </x14:conditionalFormatting>
        <x14:conditionalFormatting xmlns:xm="http://schemas.microsoft.com/office/excel/2006/main">
          <x14:cfRule type="dataBar" id="{CCC6A440-594C-954B-9CA1-969D478C388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AM170:AM174</xm:sqref>
        </x14:conditionalFormatting>
        <x14:conditionalFormatting xmlns:xm="http://schemas.microsoft.com/office/excel/2006/main">
          <x14:cfRule type="dataBar" id="{B3B16026-6C4B-8746-932A-CCB60B6B692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AM318</xm:sqref>
        </x14:conditionalFormatting>
        <x14:conditionalFormatting xmlns:xm="http://schemas.microsoft.com/office/excel/2006/main">
          <x14:cfRule type="dataBar" id="{1035DCF8-40A0-1B44-BEF1-766B21BFB72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AM319:AM323</xm:sqref>
        </x14:conditionalFormatting>
        <x14:conditionalFormatting xmlns:xm="http://schemas.microsoft.com/office/excel/2006/main">
          <x14:cfRule type="dataBar" id="{DF12E820-D788-CF41-8784-1DFD7BB067E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AN232:AN237</xm:sqref>
        </x14:conditionalFormatting>
        <x14:conditionalFormatting xmlns:xm="http://schemas.microsoft.com/office/excel/2006/main">
          <x14:cfRule type="dataBar" id="{27B60CA8-8BDC-0745-A0DB-711A774B146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AN318</xm:sqref>
        </x14:conditionalFormatting>
        <x14:conditionalFormatting xmlns:xm="http://schemas.microsoft.com/office/excel/2006/main">
          <x14:cfRule type="dataBar" id="{E39C631A-B741-874E-A369-7428EB055DD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AN319:AN323</xm:sqref>
        </x14:conditionalFormatting>
        <x14:conditionalFormatting xmlns:xm="http://schemas.microsoft.com/office/excel/2006/main">
          <x14:cfRule type="dataBar" id="{FFBA20EC-FC66-3841-90AE-CAAC4932E7F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AO232:AR237</xm:sqref>
        </x14:conditionalFormatting>
        <x14:conditionalFormatting xmlns:xm="http://schemas.microsoft.com/office/excel/2006/main">
          <x14:cfRule type="dataBar" id="{81624330-4B33-6247-91AE-46060F9EC90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AS232:AS237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f339653-0c01-4318-ae97-7b543795deb4" xsi:nil="true"/>
    <LikesCount xmlns="http://schemas.microsoft.com/sharepoint/v3" xsi:nil="true"/>
    <Instructor xmlns="808fd839-170a-44a4-85e4-5aff044f8a2d" xsi:nil="true"/>
    <Ratings xmlns="http://schemas.microsoft.com/sharepoint/v3" xsi:nil="true"/>
    <lcf76f155ced4ddcb4097134ff3c332f xmlns="808fd839-170a-44a4-85e4-5aff044f8a2d">
      <Terms xmlns="http://schemas.microsoft.com/office/infopath/2007/PartnerControls"/>
    </lcf76f155ced4ddcb4097134ff3c332f>
    <LikedBy xmlns="http://schemas.microsoft.com/sharepoint/v3">
      <UserInfo>
        <DisplayName/>
        <AccountId xsi:nil="true"/>
        <AccountType/>
      </UserInfo>
    </LikedBy>
    <Program_x0020_Affiliation xmlns="808fd839-170a-44a4-85e4-5aff044f8a2d">MS-EE</Program_x0020_Affiliation>
    <RatedBy xmlns="http://schemas.microsoft.com/sharepoint/v3">
      <UserInfo>
        <DisplayName/>
        <AccountId xsi:nil="true"/>
        <AccountType/>
      </UserInfo>
    </RatedBy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D1C97D5F27A942A6ECCDFB95DF13FE" ma:contentTypeVersion="26" ma:contentTypeDescription="Create a new document." ma:contentTypeScope="" ma:versionID="9e6a3a7b4fb9f8f917417f476f40303e">
  <xsd:schema xmlns:xsd="http://www.w3.org/2001/XMLSchema" xmlns:xs="http://www.w3.org/2001/XMLSchema" xmlns:p="http://schemas.microsoft.com/office/2006/metadata/properties" xmlns:ns1="http://schemas.microsoft.com/sharepoint/v3" xmlns:ns2="808fd839-170a-44a4-85e4-5aff044f8a2d" xmlns:ns3="9f339653-0c01-4318-ae97-7b543795deb4" targetNamespace="http://schemas.microsoft.com/office/2006/metadata/properties" ma:root="true" ma:fieldsID="870ad7e9e8b8d606b6943cd501d3d7d1" ns1:_="" ns2:_="" ns3:_="">
    <xsd:import namespace="http://schemas.microsoft.com/sharepoint/v3"/>
    <xsd:import namespace="808fd839-170a-44a4-85e4-5aff044f8a2d"/>
    <xsd:import namespace="9f339653-0c01-4318-ae97-7b543795de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Instructor" minOccurs="0"/>
                <xsd:element ref="ns2:Program_x0020_Affiliation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AverageRating" ma:index="25" nillable="true" ma:displayName="Rating (0-5)" ma:decimals="2" ma:description="Average value of all the ratings that have been submitted" ma:internalName="AverageRating" ma:readOnly="true">
      <xsd:simpleType>
        <xsd:restriction base="dms:Number"/>
      </xsd:simpleType>
    </xsd:element>
    <xsd:element name="RatingCount" ma:index="26" nillable="true" ma:displayName="Number of Ratings" ma:decimals="0" ma:description="Number of ratings submitted" ma:internalName="RatingCount" ma:readOnly="true">
      <xsd:simpleType>
        <xsd:restriction base="dms:Number"/>
      </xsd:simpleType>
    </xsd:element>
    <xsd:element name="RatedBy" ma:index="27" nillable="true" ma:displayName="Rated By" ma:description="Users rated the item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28" nillable="true" ma:displayName="User ratings" ma:description="User ratings for the item" ma:hidden="true" ma:internalName="Ratings">
      <xsd:simpleType>
        <xsd:restriction base="dms:Note"/>
      </xsd:simpleType>
    </xsd:element>
    <xsd:element name="LikesCount" ma:index="29" nillable="true" ma:displayName="Number of Likes" ma:internalName="LikesCount">
      <xsd:simpleType>
        <xsd:restriction base="dms:Unknown"/>
      </xsd:simpleType>
    </xsd:element>
    <xsd:element name="LikedBy" ma:index="30" nillable="true" ma:displayName="Liked By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8fd839-170a-44a4-85e4-5aff044f8a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Instructor" ma:index="10" nillable="true" ma:displayName="Instructor" ma:format="Dropdown" ma:internalName="Instructor">
      <xsd:simpleType>
        <xsd:restriction base="dms:Text">
          <xsd:maxLength value="255"/>
        </xsd:restriction>
      </xsd:simpleType>
    </xsd:element>
    <xsd:element name="Program_x0020_Affiliation" ma:index="11" nillable="true" ma:displayName="Program Affiliation" ma:default="MS-EE" ma:format="Dropdown" ma:internalName="Program_x0020_Affiliation">
      <xsd:simpleType>
        <xsd:restriction base="dms:Choice">
          <xsd:enumeration value="MS-EE"/>
          <xsd:enumeration value="MS-DS"/>
          <xsd:enumeration value="ME-EM"/>
          <xsd:enumeration value="Non-Credit"/>
          <xsd:enumeration value="MS-CS"/>
        </xsd:restriction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2802cc5-2881-4dd7-9d75-38905e9cf7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339653-0c01-4318-ae97-7b543795deb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7af0b387-c937-4d03-a801-ab4615f1d031}" ma:internalName="TaxCatchAll" ma:showField="CatchAllData" ma:web="9f339653-0c01-4318-ae97-7b543795de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6FAC013-929D-4655-B5F4-7F4E08ECA70E}">
  <ds:schemaRefs>
    <ds:schemaRef ds:uri="http://schemas.microsoft.com/office/2006/metadata/properties"/>
    <ds:schemaRef ds:uri="http://schemas.microsoft.com/office/infopath/2007/PartnerControls"/>
    <ds:schemaRef ds:uri="9f339653-0c01-4318-ae97-7b543795deb4"/>
    <ds:schemaRef ds:uri="http://schemas.microsoft.com/sharepoint/v3"/>
    <ds:schemaRef ds:uri="808fd839-170a-44a4-85e4-5aff044f8a2d"/>
  </ds:schemaRefs>
</ds:datastoreItem>
</file>

<file path=customXml/itemProps2.xml><?xml version="1.0" encoding="utf-8"?>
<ds:datastoreItem xmlns:ds="http://schemas.openxmlformats.org/officeDocument/2006/customXml" ds:itemID="{A80638EC-CEF6-4979-9295-512D8D3BBA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808fd839-170a-44a4-85e4-5aff044f8a2d"/>
    <ds:schemaRef ds:uri="9f339653-0c01-4318-ae97-7b543795de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DB27B6-2D1F-477A-9180-DF73DC1028FF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Intro</vt:lpstr>
      <vt:lpstr>Attention_Blank</vt:lpstr>
      <vt:lpstr>Transformer_Blank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 Yeh</dc:creator>
  <cp:keywords/>
  <dc:description/>
  <cp:lastModifiedBy>carlos sinai unda miguel</cp:lastModifiedBy>
  <cp:revision/>
  <dcterms:created xsi:type="dcterms:W3CDTF">2025-02-06T19:50:07Z</dcterms:created>
  <dcterms:modified xsi:type="dcterms:W3CDTF">2026-05-09T03:44:59Z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0x01010055D1C97D5F27A942A6ECCDFB95DF13FE</vt:lpwstr>
  </property>
  <property fmtid="{D5CDD505-2E9C-101B-9397-08002B2CF9AE}" pid="3" name="MediaServiceImageTags">
    <vt:lpwstr/>
  </property>
</Properties>
</file>